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Log" sheetId="1" state="visible" r:id="rId3"/>
    <sheet name="Expenses" sheetId="2" state="visible" r:id="rId4"/>
    <sheet name="Quarterly Summary" sheetId="3" state="visible" r:id="rId5"/>
    <sheet name="EDD Report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<sst xmlns="http://schemas.openxmlformats.org/spreadsheetml/2006/main" count="89" uniqueCount="86">
  <si>
    <t xml:space="preserve">ARCHIVE-35 — Sales &amp; Tax Tracker</t>
  </si>
  <si>
    <t xml:space="preserve">Log every sale here. Formulas calculate your tax obligations automatically.</t>
  </si>
  <si>
    <t xml:space="preserve">TAX ASSUMPTIONS</t>
  </si>
  <si>
    <t xml:space="preserve">BLUE = Input cells you edit  |  BLACK = Formulas (don't touch)</t>
  </si>
  <si>
    <t xml:space="preserve">CA Sales Tax Rate:</t>
  </si>
  <si>
    <t xml:space="preserve">Adjust tax rates in B5:B10 if needed. These are conservative estimates. Your actual rates depend on total household income with Lucy's physician salary.</t>
  </si>
  <si>
    <t xml:space="preserve">Federal SE Tax Rate:</t>
  </si>
  <si>
    <t xml:space="preserve">Fed Income Tax Rate:</t>
  </si>
  <si>
    <t xml:space="preserve">CA State Income Tax:</t>
  </si>
  <si>
    <t xml:space="preserve">Stripe Fee Rate:</t>
  </si>
  <si>
    <t xml:space="preserve">Stripe Per-Transaction:</t>
  </si>
  <si>
    <t xml:space="preserve">Date</t>
  </si>
  <si>
    <t xml:space="preserve">Order #</t>
  </si>
  <si>
    <t xml:space="preserve">Product Description</t>
  </si>
  <si>
    <t xml:space="preserve">Customer State/Country</t>
  </si>
  <si>
    <t xml:space="preserve">Sale Price</t>
  </si>
  <si>
    <t xml:space="preserve">Pictorem Cost</t>
  </si>
  <si>
    <t xml:space="preserve">Stripe Fees</t>
  </si>
  <si>
    <t xml:space="preserve">Sales Tax
Collected</t>
  </si>
  <si>
    <t xml:space="preserve">Net Revenue</t>
  </si>
  <si>
    <t xml:space="preserve">Your Profit</t>
  </si>
  <si>
    <t xml:space="preserve">Tax Reserve
(Set Aside)</t>
  </si>
  <si>
    <t xml:space="preserve">Cumulative
Profit</t>
  </si>
  <si>
    <t xml:space="preserve">Cumulative
Tax Reserve</t>
  </si>
  <si>
    <t xml:space="preserve">TOTALS</t>
  </si>
  <si>
    <t xml:space="preserve">ARCHIVE-35 — Business Expenses (Schedule C Deductions)</t>
  </si>
  <si>
    <t xml:space="preserve">Track ALL business expenses here. These reduce your taxable profit on Schedule C.</t>
  </si>
  <si>
    <t xml:space="preserve">Description</t>
  </si>
  <si>
    <t xml:space="preserve">Category</t>
  </si>
  <si>
    <t xml:space="preserve">Amount</t>
  </si>
  <si>
    <t xml:space="preserve">Payment Method</t>
  </si>
  <si>
    <t xml:space="preserve">Receipt?</t>
  </si>
  <si>
    <t xml:space="preserve">Notes</t>
  </si>
  <si>
    <t xml:space="preserve">Categories: Pictorem (COGS) | Stripe Fees | Website/Hosting | Software | Equipment | Home Office | Marketing | Supplies | Travel | Filing Fees | Insurance | Other</t>
  </si>
  <si>
    <t xml:space="preserve">TOTAL EXPENSES</t>
  </si>
  <si>
    <t xml:space="preserve">EXPENSE SUMMARY BY CATEGORY</t>
  </si>
  <si>
    <t xml:space="preserve">Pictorem (COGS)</t>
  </si>
  <si>
    <t xml:space="preserve">Website/Hosting</t>
  </si>
  <si>
    <t xml:space="preserve">Software</t>
  </si>
  <si>
    <t xml:space="preserve">Equipment</t>
  </si>
  <si>
    <t xml:space="preserve">Home Office</t>
  </si>
  <si>
    <t xml:space="preserve">Marketing</t>
  </si>
  <si>
    <t xml:space="preserve">Supplies</t>
  </si>
  <si>
    <t xml:space="preserve">Travel</t>
  </si>
  <si>
    <t xml:space="preserve">Filing Fees</t>
  </si>
  <si>
    <t xml:space="preserve">Insurance</t>
  </si>
  <si>
    <t xml:space="preserve">Other</t>
  </si>
  <si>
    <t xml:space="preserve">ARCHIVE-35 — Quarterly Tax Summary &amp; Payment Tracker</t>
  </si>
  <si>
    <t xml:space="preserve">Use this to calculate quarterly estimated tax payments. Lucy files quarterly — add Archive-35 amounts to her payments.</t>
  </si>
  <si>
    <t xml:space="preserve">Q1
Jan-Mar</t>
  </si>
  <si>
    <t xml:space="preserve">Q2
Apr-Jun</t>
  </si>
  <si>
    <t xml:space="preserve">Q3
Jul-Sep</t>
  </si>
  <si>
    <t xml:space="preserve">Q4
Oct-Dec</t>
  </si>
  <si>
    <t xml:space="preserve">YTD Total</t>
  </si>
  <si>
    <t xml:space="preserve">Gross Sales</t>
  </si>
  <si>
    <t xml:space="preserve">Pictorem Costs (COGS)</t>
  </si>
  <si>
    <t xml:space="preserve">Other Business Expenses</t>
  </si>
  <si>
    <t xml:space="preserve">Total Expenses</t>
  </si>
  <si>
    <t xml:space="preserve">NET PROFIT (Loss)</t>
  </si>
  <si>
    <t xml:space="preserve">TAX OBLIGATIONS:</t>
  </si>
  <si>
    <t xml:space="preserve">Sales Tax Collected (remit to CDTFA)</t>
  </si>
  <si>
    <t xml:space="preserve">Self-Employment Tax (15.3%)</t>
  </si>
  <si>
    <t xml:space="preserve">Federal Income Tax (~24%)</t>
  </si>
  <si>
    <t xml:space="preserve">CA State Income Tax (~9.3%)</t>
  </si>
  <si>
    <t xml:space="preserve">Total Tax Due This Quarter</t>
  </si>
  <si>
    <t xml:space="preserve">PAYMENT TRACKING:</t>
  </si>
  <si>
    <t xml:space="preserve">Fed Estimated Payment Made</t>
  </si>
  <si>
    <t xml:space="preserve">CA Estimated Payment Made</t>
  </si>
  <si>
    <t xml:space="preserve">CDTFA Sales Tax Payment Made</t>
  </si>
  <si>
    <t xml:space="preserve">Total Payments Made</t>
  </si>
  <si>
    <t xml:space="preserve">BALANCE (owed or overpaid)</t>
  </si>
  <si>
    <t xml:space="preserve">QUARTERLY PAYMENT DUE DATES:</t>
  </si>
  <si>
    <t xml:space="preserve">Q1: April 15, 2026</t>
  </si>
  <si>
    <t xml:space="preserve">Q2: June 15, 2026</t>
  </si>
  <si>
    <t xml:space="preserve">Q3: September 15, 2026</t>
  </si>
  <si>
    <t xml:space="preserve">Q4: January 15, 2027</t>
  </si>
  <si>
    <t xml:space="preserve">ARCHIVE-35 — EDD Bi-Weekly Income Reporting</t>
  </si>
  <si>
    <t xml:space="preserve">Report GROSS income (before expenses) to EDD every 2 weeks. This is separate from your tax calculations.</t>
  </si>
  <si>
    <t xml:space="preserve">⚠️ EDD counts GROSS revenue, not net profit. Report the full sale price, not what you keep after costs.</t>
  </si>
  <si>
    <t xml:space="preserve">Weekly Benefit Amount:</t>
  </si>
  <si>
    <t xml:space="preserve">Cert Period
Start</t>
  </si>
  <si>
    <t xml:space="preserve">Cert Period
End</t>
  </si>
  <si>
    <t xml:space="preserve">Gross Revenue
(Archive-35)</t>
  </si>
  <si>
    <t xml:space="preserve">EDD Weekly
Benefit</t>
  </si>
  <si>
    <t xml:space="preserve">Earnings
Disregard (25%)</t>
  </si>
  <si>
    <t xml:space="preserve">Benefit After
Reduction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</si>
</sst>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.00"/>
    <numFmt numFmtId="167" formatCode="mm/dd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2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0"/>
      <color rgb="FF0066CC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0066CC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1"/>
      <color rgb="FFCC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BF5FF"/>
        <bgColor rgb="FFE8F5E9"/>
      </patternFill>
    </fill>
    <fill>
      <patternFill patternType="solid">
        <fgColor rgb="FF1A1A2E"/>
        <bgColor rgb="FF333333"/>
      </patternFill>
    </fill>
    <fill>
      <patternFill patternType="solid">
        <fgColor rgb="FFE8EDF2"/>
        <bgColor rgb="FFE8F5E9"/>
      </patternFill>
    </fill>
    <fill>
      <patternFill patternType="solid">
        <fgColor rgb="FFE8F5E9"/>
        <bgColor rgb="FFE8EDF2"/>
      </patternFill>
    </fill>
    <fill>
      <patternFill patternType="solid">
        <fgColor rgb="FFFFF0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0F0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F"/>
      <rgbColor rgb="FFE8ED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11" min="5" style="0" width="14"/>
    <col collapsed="false" customWidth="true" hidden="false" outlineLevel="0" max="13" min="12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D4" s="4" t="s">
        <v>3</v>
      </c>
      <c r="E4" s="4"/>
      <c r="F4" s="4"/>
      <c r="G4" s="4"/>
      <c r="H4" s="4"/>
    </row>
    <row r="5" customFormat="false" ht="15" hidden="false" customHeight="true" outlineLevel="0" collapsed="false">
      <c r="A5" s="5" t="s">
        <v>4</v>
      </c>
      <c r="B5" s="6" t="n">
        <v>0.095</v>
      </c>
      <c r="D5" s="7" t="s">
        <v>5</v>
      </c>
      <c r="E5" s="7"/>
      <c r="F5" s="7"/>
      <c r="G5" s="7"/>
      <c r="H5" s="7"/>
    </row>
    <row r="6" customFormat="false" ht="15" hidden="false" customHeight="false" outlineLevel="0" collapsed="false">
      <c r="A6" s="5" t="s">
        <v>6</v>
      </c>
      <c r="B6" s="6" t="n">
        <v>0.153</v>
      </c>
      <c r="D6" s="7"/>
      <c r="E6" s="7"/>
      <c r="F6" s="7"/>
      <c r="G6" s="7"/>
      <c r="H6" s="7"/>
    </row>
    <row r="7" customFormat="false" ht="15" hidden="false" customHeight="false" outlineLevel="0" collapsed="false">
      <c r="A7" s="5" t="s">
        <v>7</v>
      </c>
      <c r="B7" s="6" t="n">
        <v>0.24</v>
      </c>
    </row>
    <row r="8" customFormat="false" ht="15" hidden="false" customHeight="false" outlineLevel="0" collapsed="false">
      <c r="A8" s="5" t="s">
        <v>8</v>
      </c>
      <c r="B8" s="6" t="n">
        <v>0.093</v>
      </c>
    </row>
    <row r="9" customFormat="false" ht="15" hidden="false" customHeight="false" outlineLevel="0" collapsed="false">
      <c r="A9" s="5" t="s">
        <v>9</v>
      </c>
      <c r="B9" s="6" t="n">
        <v>0.029</v>
      </c>
    </row>
    <row r="10" customFormat="false" ht="15" hidden="false" customHeight="false" outlineLevel="0" collapsed="false">
      <c r="A10" s="5" t="s">
        <v>10</v>
      </c>
      <c r="B10" s="8" t="n">
        <v>0.3</v>
      </c>
    </row>
    <row r="12" customFormat="false" ht="36" hidden="false" customHeight="true" outlineLevel="0" collapsed="false">
      <c r="A12" s="9" t="s">
        <v>11</v>
      </c>
      <c r="B12" s="9" t="s">
        <v>12</v>
      </c>
      <c r="C12" s="9" t="s">
        <v>13</v>
      </c>
      <c r="D12" s="9" t="s">
        <v>14</v>
      </c>
      <c r="E12" s="9" t="s">
        <v>15</v>
      </c>
      <c r="F12" s="9" t="s">
        <v>16</v>
      </c>
      <c r="G12" s="9" t="s">
        <v>17</v>
      </c>
      <c r="H12" s="9" t="s">
        <v>18</v>
      </c>
      <c r="I12" s="9" t="s">
        <v>19</v>
      </c>
      <c r="J12" s="9" t="s">
        <v>20</v>
      </c>
      <c r="K12" s="9" t="s">
        <v>21</v>
      </c>
      <c r="L12" s="9" t="s">
        <v>22</v>
      </c>
      <c r="M12" s="9" t="s">
        <v>23</v>
      </c>
    </row>
    <row r="13" customFormat="false" ht="15" hidden="false" customHeight="false" outlineLevel="0" collapsed="false">
      <c r="A13" s="10"/>
      <c r="B13" s="11"/>
      <c r="C13" s="11"/>
      <c r="D13" s="11"/>
      <c r="E13" s="12"/>
      <c r="F13" s="12"/>
      <c r="G13" s="13" t="str">
        <f aca="false">IF(E13="","",E13*$B$9+$B$10)</f>
        <v/>
      </c>
      <c r="H13" s="13" t="str">
        <f aca="false">IF(E13="","",IF(OR(D13="CA",D13="California"),E13*$B$5,0))</f>
        <v/>
      </c>
      <c r="I13" s="13" t="str">
        <f aca="false">IF(E13="","",E13-F13-G13)</f>
        <v/>
      </c>
      <c r="J13" s="13" t="str">
        <f aca="false">IF(E13="","",I13)</f>
        <v/>
      </c>
      <c r="K13" s="13" t="str">
        <f aca="false">IF(E13="","",J13*($B$6+$B$7+$B$8)+H13)</f>
        <v/>
      </c>
      <c r="L13" s="13" t="str">
        <f aca="false">IF(E13="","",J13)</f>
        <v/>
      </c>
      <c r="M13" s="13" t="str">
        <f aca="false">IF(E13="","",K13)</f>
        <v/>
      </c>
    </row>
    <row r="14" customFormat="false" ht="15" hidden="false" customHeight="false" outlineLevel="0" collapsed="false">
      <c r="A14" s="10"/>
      <c r="B14" s="11"/>
      <c r="C14" s="11"/>
      <c r="D14" s="11"/>
      <c r="E14" s="12"/>
      <c r="F14" s="12"/>
      <c r="G14" s="13" t="str">
        <f aca="false">IF(E14="","",E14*$B$9+$B$10)</f>
        <v/>
      </c>
      <c r="H14" s="13" t="str">
        <f aca="false">IF(E14="","",IF(OR(D14="CA",D14="California"),E14*$B$5,0))</f>
        <v/>
      </c>
      <c r="I14" s="13" t="str">
        <f aca="false">IF(E14="","",E14-F14-G14)</f>
        <v/>
      </c>
      <c r="J14" s="13" t="str">
        <f aca="false">IF(E14="","",I14)</f>
        <v/>
      </c>
      <c r="K14" s="13" t="str">
        <f aca="false">IF(E14="","",J14*($B$6+$B$7+$B$8)+H14)</f>
        <v/>
      </c>
      <c r="L14" s="13" t="str">
        <f aca="false">IF(E14="","",L13+J14)</f>
        <v/>
      </c>
      <c r="M14" s="13" t="str">
        <f aca="false">IF(E14="","",M13+K14)</f>
        <v/>
      </c>
    </row>
    <row r="15" customFormat="false" ht="15" hidden="false" customHeight="false" outlineLevel="0" collapsed="false">
      <c r="A15" s="10"/>
      <c r="B15" s="11"/>
      <c r="C15" s="11"/>
      <c r="D15" s="11"/>
      <c r="E15" s="12"/>
      <c r="F15" s="12"/>
      <c r="G15" s="13" t="str">
        <f aca="false">IF(E15="","",E15*$B$9+$B$10)</f>
        <v/>
      </c>
      <c r="H15" s="13" t="str">
        <f aca="false">IF(E15="","",IF(OR(D15="CA",D15="California"),E15*$B$5,0))</f>
        <v/>
      </c>
      <c r="I15" s="13" t="str">
        <f aca="false">IF(E15="","",E15-F15-G15)</f>
        <v/>
      </c>
      <c r="J15" s="13" t="str">
        <f aca="false">IF(E15="","",I15)</f>
        <v/>
      </c>
      <c r="K15" s="13" t="str">
        <f aca="false">IF(E15="","",J15*($B$6+$B$7+$B$8)+H15)</f>
        <v/>
      </c>
      <c r="L15" s="13" t="str">
        <f aca="false">IF(E15="","",L14+J15)</f>
        <v/>
      </c>
      <c r="M15" s="13" t="str">
        <f aca="false">IF(E15="","",M14+K15)</f>
        <v/>
      </c>
    </row>
    <row r="16" customFormat="false" ht="15" hidden="false" customHeight="false" outlineLevel="0" collapsed="false">
      <c r="A16" s="10"/>
      <c r="B16" s="11"/>
      <c r="C16" s="11"/>
      <c r="D16" s="11"/>
      <c r="E16" s="12"/>
      <c r="F16" s="12"/>
      <c r="G16" s="13" t="str">
        <f aca="false">IF(E16="","",E16*$B$9+$B$10)</f>
        <v/>
      </c>
      <c r="H16" s="13" t="str">
        <f aca="false">IF(E16="","",IF(OR(D16="CA",D16="California"),E16*$B$5,0))</f>
        <v/>
      </c>
      <c r="I16" s="13" t="str">
        <f aca="false">IF(E16="","",E16-F16-G16)</f>
        <v/>
      </c>
      <c r="J16" s="13" t="str">
        <f aca="false">IF(E16="","",I16)</f>
        <v/>
      </c>
      <c r="K16" s="13" t="str">
        <f aca="false">IF(E16="","",J16*($B$6+$B$7+$B$8)+H16)</f>
        <v/>
      </c>
      <c r="L16" s="13" t="str">
        <f aca="false">IF(E16="","",L15+J16)</f>
        <v/>
      </c>
      <c r="M16" s="13" t="str">
        <f aca="false">IF(E16="","",M15+K16)</f>
        <v/>
      </c>
    </row>
    <row r="17" customFormat="false" ht="15" hidden="false" customHeight="false" outlineLevel="0" collapsed="false">
      <c r="A17" s="10"/>
      <c r="B17" s="11"/>
      <c r="C17" s="11"/>
      <c r="D17" s="11"/>
      <c r="E17" s="12"/>
      <c r="F17" s="12"/>
      <c r="G17" s="13" t="str">
        <f aca="false">IF(E17="","",E17*$B$9+$B$10)</f>
        <v/>
      </c>
      <c r="H17" s="13" t="str">
        <f aca="false">IF(E17="","",IF(OR(D17="CA",D17="California"),E17*$B$5,0))</f>
        <v/>
      </c>
      <c r="I17" s="13" t="str">
        <f aca="false">IF(E17="","",E17-F17-G17)</f>
        <v/>
      </c>
      <c r="J17" s="13" t="str">
        <f aca="false">IF(E17="","",I17)</f>
        <v/>
      </c>
      <c r="K17" s="13" t="str">
        <f aca="false">IF(E17="","",J17*($B$6+$B$7+$B$8)+H17)</f>
        <v/>
      </c>
      <c r="L17" s="13" t="str">
        <f aca="false">IF(E17="","",L16+J17)</f>
        <v/>
      </c>
      <c r="M17" s="13" t="str">
        <f aca="false">IF(E17="","",M16+K17)</f>
        <v/>
      </c>
    </row>
    <row r="18" customFormat="false" ht="15" hidden="false" customHeight="false" outlineLevel="0" collapsed="false">
      <c r="A18" s="10"/>
      <c r="B18" s="11"/>
      <c r="C18" s="11"/>
      <c r="D18" s="11"/>
      <c r="E18" s="12"/>
      <c r="F18" s="12"/>
      <c r="G18" s="13" t="str">
        <f aca="false">IF(E18="","",E18*$B$9+$B$10)</f>
        <v/>
      </c>
      <c r="H18" s="13" t="str">
        <f aca="false">IF(E18="","",IF(OR(D18="CA",D18="California"),E18*$B$5,0))</f>
        <v/>
      </c>
      <c r="I18" s="13" t="str">
        <f aca="false">IF(E18="","",E18-F18-G18)</f>
        <v/>
      </c>
      <c r="J18" s="13" t="str">
        <f aca="false">IF(E18="","",I18)</f>
        <v/>
      </c>
      <c r="K18" s="13" t="str">
        <f aca="false">IF(E18="","",J18*($B$6+$B$7+$B$8)+H18)</f>
        <v/>
      </c>
      <c r="L18" s="13" t="str">
        <f aca="false">IF(E18="","",L17+J18)</f>
        <v/>
      </c>
      <c r="M18" s="13" t="str">
        <f aca="false">IF(E18="","",M17+K18)</f>
        <v/>
      </c>
    </row>
    <row r="19" customFormat="false" ht="15" hidden="false" customHeight="false" outlineLevel="0" collapsed="false">
      <c r="A19" s="10"/>
      <c r="B19" s="11"/>
      <c r="C19" s="11"/>
      <c r="D19" s="11"/>
      <c r="E19" s="12"/>
      <c r="F19" s="12"/>
      <c r="G19" s="13" t="str">
        <f aca="false">IF(E19="","",E19*$B$9+$B$10)</f>
        <v/>
      </c>
      <c r="H19" s="13" t="str">
        <f aca="false">IF(E19="","",IF(OR(D19="CA",D19="California"),E19*$B$5,0))</f>
        <v/>
      </c>
      <c r="I19" s="13" t="str">
        <f aca="false">IF(E19="","",E19-F19-G19)</f>
        <v/>
      </c>
      <c r="J19" s="13" t="str">
        <f aca="false">IF(E19="","",I19)</f>
        <v/>
      </c>
      <c r="K19" s="13" t="str">
        <f aca="false">IF(E19="","",J19*($B$6+$B$7+$B$8)+H19)</f>
        <v/>
      </c>
      <c r="L19" s="13" t="str">
        <f aca="false">IF(E19="","",L18+J19)</f>
        <v/>
      </c>
      <c r="M19" s="13" t="str">
        <f aca="false">IF(E19="","",M18+K19)</f>
        <v/>
      </c>
    </row>
    <row r="20" customFormat="false" ht="15" hidden="false" customHeight="false" outlineLevel="0" collapsed="false">
      <c r="A20" s="10"/>
      <c r="B20" s="11"/>
      <c r="C20" s="11"/>
      <c r="D20" s="11"/>
      <c r="E20" s="12"/>
      <c r="F20" s="12"/>
      <c r="G20" s="13" t="str">
        <f aca="false">IF(E20="","",E20*$B$9+$B$10)</f>
        <v/>
      </c>
      <c r="H20" s="13" t="str">
        <f aca="false">IF(E20="","",IF(OR(D20="CA",D20="California"),E20*$B$5,0))</f>
        <v/>
      </c>
      <c r="I20" s="13" t="str">
        <f aca="false">IF(E20="","",E20-F20-G20)</f>
        <v/>
      </c>
      <c r="J20" s="13" t="str">
        <f aca="false">IF(E20="","",I20)</f>
        <v/>
      </c>
      <c r="K20" s="13" t="str">
        <f aca="false">IF(E20="","",J20*($B$6+$B$7+$B$8)+H20)</f>
        <v/>
      </c>
      <c r="L20" s="13" t="str">
        <f aca="false">IF(E20="","",L19+J20)</f>
        <v/>
      </c>
      <c r="M20" s="13" t="str">
        <f aca="false">IF(E20="","",M19+K20)</f>
        <v/>
      </c>
    </row>
    <row r="21" customFormat="false" ht="15" hidden="false" customHeight="false" outlineLevel="0" collapsed="false">
      <c r="A21" s="10"/>
      <c r="B21" s="11"/>
      <c r="C21" s="11"/>
      <c r="D21" s="11"/>
      <c r="E21" s="12"/>
      <c r="F21" s="12"/>
      <c r="G21" s="13" t="str">
        <f aca="false">IF(E21="","",E21*$B$9+$B$10)</f>
        <v/>
      </c>
      <c r="H21" s="13" t="str">
        <f aca="false">IF(E21="","",IF(OR(D21="CA",D21="California"),E21*$B$5,0))</f>
        <v/>
      </c>
      <c r="I21" s="13" t="str">
        <f aca="false">IF(E21="","",E21-F21-G21)</f>
        <v/>
      </c>
      <c r="J21" s="13" t="str">
        <f aca="false">IF(E21="","",I21)</f>
        <v/>
      </c>
      <c r="K21" s="13" t="str">
        <f aca="false">IF(E21="","",J21*($B$6+$B$7+$B$8)+H21)</f>
        <v/>
      </c>
      <c r="L21" s="13" t="str">
        <f aca="false">IF(E21="","",L20+J21)</f>
        <v/>
      </c>
      <c r="M21" s="13" t="str">
        <f aca="false">IF(E21="","",M20+K21)</f>
        <v/>
      </c>
    </row>
    <row r="22" customFormat="false" ht="15" hidden="false" customHeight="false" outlineLevel="0" collapsed="false">
      <c r="A22" s="10"/>
      <c r="B22" s="11"/>
      <c r="C22" s="11"/>
      <c r="D22" s="11"/>
      <c r="E22" s="12"/>
      <c r="F22" s="12"/>
      <c r="G22" s="13" t="str">
        <f aca="false">IF(E22="","",E22*$B$9+$B$10)</f>
        <v/>
      </c>
      <c r="H22" s="13" t="str">
        <f aca="false">IF(E22="","",IF(OR(D22="CA",D22="California"),E22*$B$5,0))</f>
        <v/>
      </c>
      <c r="I22" s="13" t="str">
        <f aca="false">IF(E22="","",E22-F22-G22)</f>
        <v/>
      </c>
      <c r="J22" s="13" t="str">
        <f aca="false">IF(E22="","",I22)</f>
        <v/>
      </c>
      <c r="K22" s="13" t="str">
        <f aca="false">IF(E22="","",J22*($B$6+$B$7+$B$8)+H22)</f>
        <v/>
      </c>
      <c r="L22" s="13" t="str">
        <f aca="false">IF(E22="","",L21+J22)</f>
        <v/>
      </c>
      <c r="M22" s="13" t="str">
        <f aca="false">IF(E22="","",M21+K22)</f>
        <v/>
      </c>
    </row>
    <row r="23" customFormat="false" ht="15" hidden="false" customHeight="false" outlineLevel="0" collapsed="false">
      <c r="A23" s="10"/>
      <c r="B23" s="11"/>
      <c r="C23" s="11"/>
      <c r="D23" s="11"/>
      <c r="E23" s="12"/>
      <c r="F23" s="12"/>
      <c r="G23" s="13" t="str">
        <f aca="false">IF(E23="","",E23*$B$9+$B$10)</f>
        <v/>
      </c>
      <c r="H23" s="13" t="str">
        <f aca="false">IF(E23="","",IF(OR(D23="CA",D23="California"),E23*$B$5,0))</f>
        <v/>
      </c>
      <c r="I23" s="13" t="str">
        <f aca="false">IF(E23="","",E23-F23-G23)</f>
        <v/>
      </c>
      <c r="J23" s="13" t="str">
        <f aca="false">IF(E23="","",I23)</f>
        <v/>
      </c>
      <c r="K23" s="13" t="str">
        <f aca="false">IF(E23="","",J23*($B$6+$B$7+$B$8)+H23)</f>
        <v/>
      </c>
      <c r="L23" s="13" t="str">
        <f aca="false">IF(E23="","",L22+J23)</f>
        <v/>
      </c>
      <c r="M23" s="13" t="str">
        <f aca="false">IF(E23="","",M22+K23)</f>
        <v/>
      </c>
    </row>
    <row r="24" customFormat="false" ht="15" hidden="false" customHeight="false" outlineLevel="0" collapsed="false">
      <c r="A24" s="10"/>
      <c r="B24" s="11"/>
      <c r="C24" s="11"/>
      <c r="D24" s="11"/>
      <c r="E24" s="12"/>
      <c r="F24" s="12"/>
      <c r="G24" s="13" t="str">
        <f aca="false">IF(E24="","",E24*$B$9+$B$10)</f>
        <v/>
      </c>
      <c r="H24" s="13" t="str">
        <f aca="false">IF(E24="","",IF(OR(D24="CA",D24="California"),E24*$B$5,0))</f>
        <v/>
      </c>
      <c r="I24" s="13" t="str">
        <f aca="false">IF(E24="","",E24-F24-G24)</f>
        <v/>
      </c>
      <c r="J24" s="13" t="str">
        <f aca="false">IF(E24="","",I24)</f>
        <v/>
      </c>
      <c r="K24" s="13" t="str">
        <f aca="false">IF(E24="","",J24*($B$6+$B$7+$B$8)+H24)</f>
        <v/>
      </c>
      <c r="L24" s="13" t="str">
        <f aca="false">IF(E24="","",L23+J24)</f>
        <v/>
      </c>
      <c r="M24" s="13" t="str">
        <f aca="false">IF(E24="","",M23+K24)</f>
        <v/>
      </c>
    </row>
    <row r="25" customFormat="false" ht="15" hidden="false" customHeight="false" outlineLevel="0" collapsed="false">
      <c r="A25" s="10"/>
      <c r="B25" s="11"/>
      <c r="C25" s="11"/>
      <c r="D25" s="11"/>
      <c r="E25" s="12"/>
      <c r="F25" s="12"/>
      <c r="G25" s="13" t="str">
        <f aca="false">IF(E25="","",E25*$B$9+$B$10)</f>
        <v/>
      </c>
      <c r="H25" s="13" t="str">
        <f aca="false">IF(E25="","",IF(OR(D25="CA",D25="California"),E25*$B$5,0))</f>
        <v/>
      </c>
      <c r="I25" s="13" t="str">
        <f aca="false">IF(E25="","",E25-F25-G25)</f>
        <v/>
      </c>
      <c r="J25" s="13" t="str">
        <f aca="false">IF(E25="","",I25)</f>
        <v/>
      </c>
      <c r="K25" s="13" t="str">
        <f aca="false">IF(E25="","",J25*($B$6+$B$7+$B$8)+H25)</f>
        <v/>
      </c>
      <c r="L25" s="13" t="str">
        <f aca="false">IF(E25="","",L24+J25)</f>
        <v/>
      </c>
      <c r="M25" s="13" t="str">
        <f aca="false">IF(E25="","",M24+K25)</f>
        <v/>
      </c>
    </row>
    <row r="26" customFormat="false" ht="15" hidden="false" customHeight="false" outlineLevel="0" collapsed="false">
      <c r="A26" s="10"/>
      <c r="B26" s="11"/>
      <c r="C26" s="11"/>
      <c r="D26" s="11"/>
      <c r="E26" s="12"/>
      <c r="F26" s="12"/>
      <c r="G26" s="13" t="str">
        <f aca="false">IF(E26="","",E26*$B$9+$B$10)</f>
        <v/>
      </c>
      <c r="H26" s="13" t="str">
        <f aca="false">IF(E26="","",IF(OR(D26="CA",D26="California"),E26*$B$5,0))</f>
        <v/>
      </c>
      <c r="I26" s="13" t="str">
        <f aca="false">IF(E26="","",E26-F26-G26)</f>
        <v/>
      </c>
      <c r="J26" s="13" t="str">
        <f aca="false">IF(E26="","",I26)</f>
        <v/>
      </c>
      <c r="K26" s="13" t="str">
        <f aca="false">IF(E26="","",J26*($B$6+$B$7+$B$8)+H26)</f>
        <v/>
      </c>
      <c r="L26" s="13" t="str">
        <f aca="false">IF(E26="","",L25+J26)</f>
        <v/>
      </c>
      <c r="M26" s="13" t="str">
        <f aca="false">IF(E26="","",M25+K26)</f>
        <v/>
      </c>
    </row>
    <row r="27" customFormat="false" ht="15" hidden="false" customHeight="false" outlineLevel="0" collapsed="false">
      <c r="A27" s="10"/>
      <c r="B27" s="11"/>
      <c r="C27" s="11"/>
      <c r="D27" s="11"/>
      <c r="E27" s="12"/>
      <c r="F27" s="12"/>
      <c r="G27" s="13" t="str">
        <f aca="false">IF(E27="","",E27*$B$9+$B$10)</f>
        <v/>
      </c>
      <c r="H27" s="13" t="str">
        <f aca="false">IF(E27="","",IF(OR(D27="CA",D27="California"),E27*$B$5,0))</f>
        <v/>
      </c>
      <c r="I27" s="13" t="str">
        <f aca="false">IF(E27="","",E27-F27-G27)</f>
        <v/>
      </c>
      <c r="J27" s="13" t="str">
        <f aca="false">IF(E27="","",I27)</f>
        <v/>
      </c>
      <c r="K27" s="13" t="str">
        <f aca="false">IF(E27="","",J27*($B$6+$B$7+$B$8)+H27)</f>
        <v/>
      </c>
      <c r="L27" s="13" t="str">
        <f aca="false">IF(E27="","",L26+J27)</f>
        <v/>
      </c>
      <c r="M27" s="13" t="str">
        <f aca="false">IF(E27="","",M26+K27)</f>
        <v/>
      </c>
    </row>
    <row r="28" customFormat="false" ht="15" hidden="false" customHeight="false" outlineLevel="0" collapsed="false">
      <c r="A28" s="10"/>
      <c r="B28" s="11"/>
      <c r="C28" s="11"/>
      <c r="D28" s="11"/>
      <c r="E28" s="12"/>
      <c r="F28" s="12"/>
      <c r="G28" s="13" t="str">
        <f aca="false">IF(E28="","",E28*$B$9+$B$10)</f>
        <v/>
      </c>
      <c r="H28" s="13" t="str">
        <f aca="false">IF(E28="","",IF(OR(D28="CA",D28="California"),E28*$B$5,0))</f>
        <v/>
      </c>
      <c r="I28" s="13" t="str">
        <f aca="false">IF(E28="","",E28-F28-G28)</f>
        <v/>
      </c>
      <c r="J28" s="13" t="str">
        <f aca="false">IF(E28="","",I28)</f>
        <v/>
      </c>
      <c r="K28" s="13" t="str">
        <f aca="false">IF(E28="","",J28*($B$6+$B$7+$B$8)+H28)</f>
        <v/>
      </c>
      <c r="L28" s="13" t="str">
        <f aca="false">IF(E28="","",L27+J28)</f>
        <v/>
      </c>
      <c r="M28" s="13" t="str">
        <f aca="false">IF(E28="","",M27+K28)</f>
        <v/>
      </c>
    </row>
    <row r="29" customFormat="false" ht="15" hidden="false" customHeight="false" outlineLevel="0" collapsed="false">
      <c r="A29" s="10"/>
      <c r="B29" s="11"/>
      <c r="C29" s="11"/>
      <c r="D29" s="11"/>
      <c r="E29" s="12"/>
      <c r="F29" s="12"/>
      <c r="G29" s="13" t="str">
        <f aca="false">IF(E29="","",E29*$B$9+$B$10)</f>
        <v/>
      </c>
      <c r="H29" s="13" t="str">
        <f aca="false">IF(E29="","",IF(OR(D29="CA",D29="California"),E29*$B$5,0))</f>
        <v/>
      </c>
      <c r="I29" s="13" t="str">
        <f aca="false">IF(E29="","",E29-F29-G29)</f>
        <v/>
      </c>
      <c r="J29" s="13" t="str">
        <f aca="false">IF(E29="","",I29)</f>
        <v/>
      </c>
      <c r="K29" s="13" t="str">
        <f aca="false">IF(E29="","",J29*($B$6+$B$7+$B$8)+H29)</f>
        <v/>
      </c>
      <c r="L29" s="13" t="str">
        <f aca="false">IF(E29="","",L28+J29)</f>
        <v/>
      </c>
      <c r="M29" s="13" t="str">
        <f aca="false">IF(E29="","",M28+K29)</f>
        <v/>
      </c>
    </row>
    <row r="30" customFormat="false" ht="15" hidden="false" customHeight="false" outlineLevel="0" collapsed="false">
      <c r="A30" s="10"/>
      <c r="B30" s="11"/>
      <c r="C30" s="11"/>
      <c r="D30" s="11"/>
      <c r="E30" s="12"/>
      <c r="F30" s="12"/>
      <c r="G30" s="13" t="str">
        <f aca="false">IF(E30="","",E30*$B$9+$B$10)</f>
        <v/>
      </c>
      <c r="H30" s="13" t="str">
        <f aca="false">IF(E30="","",IF(OR(D30="CA",D30="California"),E30*$B$5,0))</f>
        <v/>
      </c>
      <c r="I30" s="13" t="str">
        <f aca="false">IF(E30="","",E30-F30-G30)</f>
        <v/>
      </c>
      <c r="J30" s="13" t="str">
        <f aca="false">IF(E30="","",I30)</f>
        <v/>
      </c>
      <c r="K30" s="13" t="str">
        <f aca="false">IF(E30="","",J30*($B$6+$B$7+$B$8)+H30)</f>
        <v/>
      </c>
      <c r="L30" s="13" t="str">
        <f aca="false">IF(E30="","",L29+J30)</f>
        <v/>
      </c>
      <c r="M30" s="13" t="str">
        <f aca="false">IF(E30="","",M29+K30)</f>
        <v/>
      </c>
    </row>
    <row r="31" customFormat="false" ht="15" hidden="false" customHeight="false" outlineLevel="0" collapsed="false">
      <c r="A31" s="10"/>
      <c r="B31" s="11"/>
      <c r="C31" s="11"/>
      <c r="D31" s="11"/>
      <c r="E31" s="12"/>
      <c r="F31" s="12"/>
      <c r="G31" s="13" t="str">
        <f aca="false">IF(E31="","",E31*$B$9+$B$10)</f>
        <v/>
      </c>
      <c r="H31" s="13" t="str">
        <f aca="false">IF(E31="","",IF(OR(D31="CA",D31="California"),E31*$B$5,0))</f>
        <v/>
      </c>
      <c r="I31" s="13" t="str">
        <f aca="false">IF(E31="","",E31-F31-G31)</f>
        <v/>
      </c>
      <c r="J31" s="13" t="str">
        <f aca="false">IF(E31="","",I31)</f>
        <v/>
      </c>
      <c r="K31" s="13" t="str">
        <f aca="false">IF(E31="","",J31*($B$6+$B$7+$B$8)+H31)</f>
        <v/>
      </c>
      <c r="L31" s="13" t="str">
        <f aca="false">IF(E31="","",L30+J31)</f>
        <v/>
      </c>
      <c r="M31" s="13" t="str">
        <f aca="false">IF(E31="","",M30+K31)</f>
        <v/>
      </c>
    </row>
    <row r="32" customFormat="false" ht="15" hidden="false" customHeight="false" outlineLevel="0" collapsed="false">
      <c r="A32" s="10"/>
      <c r="B32" s="11"/>
      <c r="C32" s="11"/>
      <c r="D32" s="11"/>
      <c r="E32" s="12"/>
      <c r="F32" s="12"/>
      <c r="G32" s="13" t="str">
        <f aca="false">IF(E32="","",E32*$B$9+$B$10)</f>
        <v/>
      </c>
      <c r="H32" s="13" t="str">
        <f aca="false">IF(E32="","",IF(OR(D32="CA",D32="California"),E32*$B$5,0))</f>
        <v/>
      </c>
      <c r="I32" s="13" t="str">
        <f aca="false">IF(E32="","",E32-F32-G32)</f>
        <v/>
      </c>
      <c r="J32" s="13" t="str">
        <f aca="false">IF(E32="","",I32)</f>
        <v/>
      </c>
      <c r="K32" s="13" t="str">
        <f aca="false">IF(E32="","",J32*($B$6+$B$7+$B$8)+H32)</f>
        <v/>
      </c>
      <c r="L32" s="13" t="str">
        <f aca="false">IF(E32="","",L31+J32)</f>
        <v/>
      </c>
      <c r="M32" s="13" t="str">
        <f aca="false">IF(E32="","",M31+K32)</f>
        <v/>
      </c>
    </row>
    <row r="33" customFormat="false" ht="15" hidden="false" customHeight="false" outlineLevel="0" collapsed="false">
      <c r="A33" s="10"/>
      <c r="B33" s="11"/>
      <c r="C33" s="11"/>
      <c r="D33" s="11"/>
      <c r="E33" s="12"/>
      <c r="F33" s="12"/>
      <c r="G33" s="13" t="str">
        <f aca="false">IF(E33="","",E33*$B$9+$B$10)</f>
        <v/>
      </c>
      <c r="H33" s="13" t="str">
        <f aca="false">IF(E33="","",IF(OR(D33="CA",D33="California"),E33*$B$5,0))</f>
        <v/>
      </c>
      <c r="I33" s="13" t="str">
        <f aca="false">IF(E33="","",E33-F33-G33)</f>
        <v/>
      </c>
      <c r="J33" s="13" t="str">
        <f aca="false">IF(E33="","",I33)</f>
        <v/>
      </c>
      <c r="K33" s="13" t="str">
        <f aca="false">IF(E33="","",J33*($B$6+$B$7+$B$8)+H33)</f>
        <v/>
      </c>
      <c r="L33" s="13" t="str">
        <f aca="false">IF(E33="","",L32+J33)</f>
        <v/>
      </c>
      <c r="M33" s="13" t="str">
        <f aca="false">IF(E33="","",M32+K33)</f>
        <v/>
      </c>
    </row>
    <row r="34" customFormat="false" ht="15" hidden="false" customHeight="false" outlineLevel="0" collapsed="false">
      <c r="A34" s="10"/>
      <c r="B34" s="11"/>
      <c r="C34" s="11"/>
      <c r="D34" s="11"/>
      <c r="E34" s="12"/>
      <c r="F34" s="12"/>
      <c r="G34" s="13" t="str">
        <f aca="false">IF(E34="","",E34*$B$9+$B$10)</f>
        <v/>
      </c>
      <c r="H34" s="13" t="str">
        <f aca="false">IF(E34="","",IF(OR(D34="CA",D34="California"),E34*$B$5,0))</f>
        <v/>
      </c>
      <c r="I34" s="13" t="str">
        <f aca="false">IF(E34="","",E34-F34-G34)</f>
        <v/>
      </c>
      <c r="J34" s="13" t="str">
        <f aca="false">IF(E34="","",I34)</f>
        <v/>
      </c>
      <c r="K34" s="13" t="str">
        <f aca="false">IF(E34="","",J34*($B$6+$B$7+$B$8)+H34)</f>
        <v/>
      </c>
      <c r="L34" s="13" t="str">
        <f aca="false">IF(E34="","",L33+J34)</f>
        <v/>
      </c>
      <c r="M34" s="13" t="str">
        <f aca="false">IF(E34="","",M33+K34)</f>
        <v/>
      </c>
    </row>
    <row r="35" customFormat="false" ht="15" hidden="false" customHeight="false" outlineLevel="0" collapsed="false">
      <c r="A35" s="10"/>
      <c r="B35" s="11"/>
      <c r="C35" s="11"/>
      <c r="D35" s="11"/>
      <c r="E35" s="12"/>
      <c r="F35" s="12"/>
      <c r="G35" s="13" t="str">
        <f aca="false">IF(E35="","",E35*$B$9+$B$10)</f>
        <v/>
      </c>
      <c r="H35" s="13" t="str">
        <f aca="false">IF(E35="","",IF(OR(D35="CA",D35="California"),E35*$B$5,0))</f>
        <v/>
      </c>
      <c r="I35" s="13" t="str">
        <f aca="false">IF(E35="","",E35-F35-G35)</f>
        <v/>
      </c>
      <c r="J35" s="13" t="str">
        <f aca="false">IF(E35="","",I35)</f>
        <v/>
      </c>
      <c r="K35" s="13" t="str">
        <f aca="false">IF(E35="","",J35*($B$6+$B$7+$B$8)+H35)</f>
        <v/>
      </c>
      <c r="L35" s="13" t="str">
        <f aca="false">IF(E35="","",L34+J35)</f>
        <v/>
      </c>
      <c r="M35" s="13" t="str">
        <f aca="false">IF(E35="","",M34+K35)</f>
        <v/>
      </c>
    </row>
    <row r="36" customFormat="false" ht="15" hidden="false" customHeight="false" outlineLevel="0" collapsed="false">
      <c r="A36" s="10"/>
      <c r="B36" s="11"/>
      <c r="C36" s="11"/>
      <c r="D36" s="11"/>
      <c r="E36" s="12"/>
      <c r="F36" s="12"/>
      <c r="G36" s="13" t="str">
        <f aca="false">IF(E36="","",E36*$B$9+$B$10)</f>
        <v/>
      </c>
      <c r="H36" s="13" t="str">
        <f aca="false">IF(E36="","",IF(OR(D36="CA",D36="California"),E36*$B$5,0))</f>
        <v/>
      </c>
      <c r="I36" s="13" t="str">
        <f aca="false">IF(E36="","",E36-F36-G36)</f>
        <v/>
      </c>
      <c r="J36" s="13" t="str">
        <f aca="false">IF(E36="","",I36)</f>
        <v/>
      </c>
      <c r="K36" s="13" t="str">
        <f aca="false">IF(E36="","",J36*($B$6+$B$7+$B$8)+H36)</f>
        <v/>
      </c>
      <c r="L36" s="13" t="str">
        <f aca="false">IF(E36="","",L35+J36)</f>
        <v/>
      </c>
      <c r="M36" s="13" t="str">
        <f aca="false">IF(E36="","",M35+K36)</f>
        <v/>
      </c>
    </row>
    <row r="37" customFormat="false" ht="15" hidden="false" customHeight="false" outlineLevel="0" collapsed="false">
      <c r="A37" s="10"/>
      <c r="B37" s="11"/>
      <c r="C37" s="11"/>
      <c r="D37" s="11"/>
      <c r="E37" s="12"/>
      <c r="F37" s="12"/>
      <c r="G37" s="13" t="str">
        <f aca="false">IF(E37="","",E37*$B$9+$B$10)</f>
        <v/>
      </c>
      <c r="H37" s="13" t="str">
        <f aca="false">IF(E37="","",IF(OR(D37="CA",D37="California"),E37*$B$5,0))</f>
        <v/>
      </c>
      <c r="I37" s="13" t="str">
        <f aca="false">IF(E37="","",E37-F37-G37)</f>
        <v/>
      </c>
      <c r="J37" s="13" t="str">
        <f aca="false">IF(E37="","",I37)</f>
        <v/>
      </c>
      <c r="K37" s="13" t="str">
        <f aca="false">IF(E37="","",J37*($B$6+$B$7+$B$8)+H37)</f>
        <v/>
      </c>
      <c r="L37" s="13" t="str">
        <f aca="false">IF(E37="","",L36+J37)</f>
        <v/>
      </c>
      <c r="M37" s="13" t="str">
        <f aca="false">IF(E37="","",M36+K37)</f>
        <v/>
      </c>
    </row>
    <row r="38" customFormat="false" ht="15" hidden="false" customHeight="false" outlineLevel="0" collapsed="false">
      <c r="A38" s="10"/>
      <c r="B38" s="11"/>
      <c r="C38" s="11"/>
      <c r="D38" s="11"/>
      <c r="E38" s="12"/>
      <c r="F38" s="12"/>
      <c r="G38" s="13" t="str">
        <f aca="false">IF(E38="","",E38*$B$9+$B$10)</f>
        <v/>
      </c>
      <c r="H38" s="13" t="str">
        <f aca="false">IF(E38="","",IF(OR(D38="CA",D38="California"),E38*$B$5,0))</f>
        <v/>
      </c>
      <c r="I38" s="13" t="str">
        <f aca="false">IF(E38="","",E38-F38-G38)</f>
        <v/>
      </c>
      <c r="J38" s="13" t="str">
        <f aca="false">IF(E38="","",I38)</f>
        <v/>
      </c>
      <c r="K38" s="13" t="str">
        <f aca="false">IF(E38="","",J38*($B$6+$B$7+$B$8)+H38)</f>
        <v/>
      </c>
      <c r="L38" s="13" t="str">
        <f aca="false">IF(E38="","",L37+J38)</f>
        <v/>
      </c>
      <c r="M38" s="13" t="str">
        <f aca="false">IF(E38="","",M37+K38)</f>
        <v/>
      </c>
    </row>
    <row r="39" customFormat="false" ht="15" hidden="false" customHeight="false" outlineLevel="0" collapsed="false">
      <c r="A39" s="10"/>
      <c r="B39" s="11"/>
      <c r="C39" s="11"/>
      <c r="D39" s="11"/>
      <c r="E39" s="12"/>
      <c r="F39" s="12"/>
      <c r="G39" s="13" t="str">
        <f aca="false">IF(E39="","",E39*$B$9+$B$10)</f>
        <v/>
      </c>
      <c r="H39" s="13" t="str">
        <f aca="false">IF(E39="","",IF(OR(D39="CA",D39="California"),E39*$B$5,0))</f>
        <v/>
      </c>
      <c r="I39" s="13" t="str">
        <f aca="false">IF(E39="","",E39-F39-G39)</f>
        <v/>
      </c>
      <c r="J39" s="13" t="str">
        <f aca="false">IF(E39="","",I39)</f>
        <v/>
      </c>
      <c r="K39" s="13" t="str">
        <f aca="false">IF(E39="","",J39*($B$6+$B$7+$B$8)+H39)</f>
        <v/>
      </c>
      <c r="L39" s="13" t="str">
        <f aca="false">IF(E39="","",L38+J39)</f>
        <v/>
      </c>
      <c r="M39" s="13" t="str">
        <f aca="false">IF(E39="","",M38+K39)</f>
        <v/>
      </c>
    </row>
    <row r="40" customFormat="false" ht="15" hidden="false" customHeight="false" outlineLevel="0" collapsed="false">
      <c r="A40" s="10"/>
      <c r="B40" s="11"/>
      <c r="C40" s="11"/>
      <c r="D40" s="11"/>
      <c r="E40" s="12"/>
      <c r="F40" s="12"/>
      <c r="G40" s="13" t="str">
        <f aca="false">IF(E40="","",E40*$B$9+$B$10)</f>
        <v/>
      </c>
      <c r="H40" s="13" t="str">
        <f aca="false">IF(E40="","",IF(OR(D40="CA",D40="California"),E40*$B$5,0))</f>
        <v/>
      </c>
      <c r="I40" s="13" t="str">
        <f aca="false">IF(E40="","",E40-F40-G40)</f>
        <v/>
      </c>
      <c r="J40" s="13" t="str">
        <f aca="false">IF(E40="","",I40)</f>
        <v/>
      </c>
      <c r="K40" s="13" t="str">
        <f aca="false">IF(E40="","",J40*($B$6+$B$7+$B$8)+H40)</f>
        <v/>
      </c>
      <c r="L40" s="13" t="str">
        <f aca="false">IF(E40="","",L39+J40)</f>
        <v/>
      </c>
      <c r="M40" s="13" t="str">
        <f aca="false">IF(E40="","",M39+K40)</f>
        <v/>
      </c>
    </row>
    <row r="41" customFormat="false" ht="15" hidden="false" customHeight="false" outlineLevel="0" collapsed="false">
      <c r="A41" s="10"/>
      <c r="B41" s="11"/>
      <c r="C41" s="11"/>
      <c r="D41" s="11"/>
      <c r="E41" s="12"/>
      <c r="F41" s="12"/>
      <c r="G41" s="13" t="str">
        <f aca="false">IF(E41="","",E41*$B$9+$B$10)</f>
        <v/>
      </c>
      <c r="H41" s="13" t="str">
        <f aca="false">IF(E41="","",IF(OR(D41="CA",D41="California"),E41*$B$5,0))</f>
        <v/>
      </c>
      <c r="I41" s="13" t="str">
        <f aca="false">IF(E41="","",E41-F41-G41)</f>
        <v/>
      </c>
      <c r="J41" s="13" t="str">
        <f aca="false">IF(E41="","",I41)</f>
        <v/>
      </c>
      <c r="K41" s="13" t="str">
        <f aca="false">IF(E41="","",J41*($B$6+$B$7+$B$8)+H41)</f>
        <v/>
      </c>
      <c r="L41" s="13" t="str">
        <f aca="false">IF(E41="","",L40+J41)</f>
        <v/>
      </c>
      <c r="M41" s="13" t="str">
        <f aca="false">IF(E41="","",M40+K41)</f>
        <v/>
      </c>
    </row>
    <row r="42" customFormat="false" ht="15" hidden="false" customHeight="false" outlineLevel="0" collapsed="false">
      <c r="A42" s="10"/>
      <c r="B42" s="11"/>
      <c r="C42" s="11"/>
      <c r="D42" s="11"/>
      <c r="E42" s="12"/>
      <c r="F42" s="12"/>
      <c r="G42" s="13" t="str">
        <f aca="false">IF(E42="","",E42*$B$9+$B$10)</f>
        <v/>
      </c>
      <c r="H42" s="13" t="str">
        <f aca="false">IF(E42="","",IF(OR(D42="CA",D42="California"),E42*$B$5,0))</f>
        <v/>
      </c>
      <c r="I42" s="13" t="str">
        <f aca="false">IF(E42="","",E42-F42-G42)</f>
        <v/>
      </c>
      <c r="J42" s="13" t="str">
        <f aca="false">IF(E42="","",I42)</f>
        <v/>
      </c>
      <c r="K42" s="13" t="str">
        <f aca="false">IF(E42="","",J42*($B$6+$B$7+$B$8)+H42)</f>
        <v/>
      </c>
      <c r="L42" s="13" t="str">
        <f aca="false">IF(E42="","",L41+J42)</f>
        <v/>
      </c>
      <c r="M42" s="13" t="str">
        <f aca="false">IF(E42="","",M41+K42)</f>
        <v/>
      </c>
    </row>
    <row r="43" customFormat="false" ht="15" hidden="false" customHeight="false" outlineLevel="0" collapsed="false">
      <c r="A43" s="10"/>
      <c r="B43" s="11"/>
      <c r="C43" s="11"/>
      <c r="D43" s="11"/>
      <c r="E43" s="12"/>
      <c r="F43" s="12"/>
      <c r="G43" s="13" t="str">
        <f aca="false">IF(E43="","",E43*$B$9+$B$10)</f>
        <v/>
      </c>
      <c r="H43" s="13" t="str">
        <f aca="false">IF(E43="","",IF(OR(D43="CA",D43="California"),E43*$B$5,0))</f>
        <v/>
      </c>
      <c r="I43" s="13" t="str">
        <f aca="false">IF(E43="","",E43-F43-G43)</f>
        <v/>
      </c>
      <c r="J43" s="13" t="str">
        <f aca="false">IF(E43="","",I43)</f>
        <v/>
      </c>
      <c r="K43" s="13" t="str">
        <f aca="false">IF(E43="","",J43*($B$6+$B$7+$B$8)+H43)</f>
        <v/>
      </c>
      <c r="L43" s="13" t="str">
        <f aca="false">IF(E43="","",L42+J43)</f>
        <v/>
      </c>
      <c r="M43" s="13" t="str">
        <f aca="false">IF(E43="","",M42+K43)</f>
        <v/>
      </c>
    </row>
    <row r="44" customFormat="false" ht="15" hidden="false" customHeight="false" outlineLevel="0" collapsed="false">
      <c r="A44" s="10"/>
      <c r="B44" s="11"/>
      <c r="C44" s="11"/>
      <c r="D44" s="11"/>
      <c r="E44" s="12"/>
      <c r="F44" s="12"/>
      <c r="G44" s="13" t="str">
        <f aca="false">IF(E44="","",E44*$B$9+$B$10)</f>
        <v/>
      </c>
      <c r="H44" s="13" t="str">
        <f aca="false">IF(E44="","",IF(OR(D44="CA",D44="California"),E44*$B$5,0))</f>
        <v/>
      </c>
      <c r="I44" s="13" t="str">
        <f aca="false">IF(E44="","",E44-F44-G44)</f>
        <v/>
      </c>
      <c r="J44" s="13" t="str">
        <f aca="false">IF(E44="","",I44)</f>
        <v/>
      </c>
      <c r="K44" s="13" t="str">
        <f aca="false">IF(E44="","",J44*($B$6+$B$7+$B$8)+H44)</f>
        <v/>
      </c>
      <c r="L44" s="13" t="str">
        <f aca="false">IF(E44="","",L43+J44)</f>
        <v/>
      </c>
      <c r="M44" s="13" t="str">
        <f aca="false">IF(E44="","",M43+K44)</f>
        <v/>
      </c>
    </row>
    <row r="45" customFormat="false" ht="15" hidden="false" customHeight="false" outlineLevel="0" collapsed="false">
      <c r="A45" s="10"/>
      <c r="B45" s="11"/>
      <c r="C45" s="11"/>
      <c r="D45" s="11"/>
      <c r="E45" s="12"/>
      <c r="F45" s="12"/>
      <c r="G45" s="13" t="str">
        <f aca="false">IF(E45="","",E45*$B$9+$B$10)</f>
        <v/>
      </c>
      <c r="H45" s="13" t="str">
        <f aca="false">IF(E45="","",IF(OR(D45="CA",D45="California"),E45*$B$5,0))</f>
        <v/>
      </c>
      <c r="I45" s="13" t="str">
        <f aca="false">IF(E45="","",E45-F45-G45)</f>
        <v/>
      </c>
      <c r="J45" s="13" t="str">
        <f aca="false">IF(E45="","",I45)</f>
        <v/>
      </c>
      <c r="K45" s="13" t="str">
        <f aca="false">IF(E45="","",J45*($B$6+$B$7+$B$8)+H45)</f>
        <v/>
      </c>
      <c r="L45" s="13" t="str">
        <f aca="false">IF(E45="","",L44+J45)</f>
        <v/>
      </c>
      <c r="M45" s="13" t="str">
        <f aca="false">IF(E45="","",M44+K45)</f>
        <v/>
      </c>
    </row>
    <row r="46" customFormat="false" ht="15" hidden="false" customHeight="false" outlineLevel="0" collapsed="false">
      <c r="A46" s="10"/>
      <c r="B46" s="11"/>
      <c r="C46" s="11"/>
      <c r="D46" s="11"/>
      <c r="E46" s="12"/>
      <c r="F46" s="12"/>
      <c r="G46" s="13" t="str">
        <f aca="false">IF(E46="","",E46*$B$9+$B$10)</f>
        <v/>
      </c>
      <c r="H46" s="13" t="str">
        <f aca="false">IF(E46="","",IF(OR(D46="CA",D46="California"),E46*$B$5,0))</f>
        <v/>
      </c>
      <c r="I46" s="13" t="str">
        <f aca="false">IF(E46="","",E46-F46-G46)</f>
        <v/>
      </c>
      <c r="J46" s="13" t="str">
        <f aca="false">IF(E46="","",I46)</f>
        <v/>
      </c>
      <c r="K46" s="13" t="str">
        <f aca="false">IF(E46="","",J46*($B$6+$B$7+$B$8)+H46)</f>
        <v/>
      </c>
      <c r="L46" s="13" t="str">
        <f aca="false">IF(E46="","",L45+J46)</f>
        <v/>
      </c>
      <c r="M46" s="13" t="str">
        <f aca="false">IF(E46="","",M45+K46)</f>
        <v/>
      </c>
    </row>
    <row r="47" customFormat="false" ht="15" hidden="false" customHeight="false" outlineLevel="0" collapsed="false">
      <c r="A47" s="10"/>
      <c r="B47" s="11"/>
      <c r="C47" s="11"/>
      <c r="D47" s="11"/>
      <c r="E47" s="12"/>
      <c r="F47" s="12"/>
      <c r="G47" s="13" t="str">
        <f aca="false">IF(E47="","",E47*$B$9+$B$10)</f>
        <v/>
      </c>
      <c r="H47" s="13" t="str">
        <f aca="false">IF(E47="","",IF(OR(D47="CA",D47="California"),E47*$B$5,0))</f>
        <v/>
      </c>
      <c r="I47" s="13" t="str">
        <f aca="false">IF(E47="","",E47-F47-G47)</f>
        <v/>
      </c>
      <c r="J47" s="13" t="str">
        <f aca="false">IF(E47="","",I47)</f>
        <v/>
      </c>
      <c r="K47" s="13" t="str">
        <f aca="false">IF(E47="","",J47*($B$6+$B$7+$B$8)+H47)</f>
        <v/>
      </c>
      <c r="L47" s="13" t="str">
        <f aca="false">IF(E47="","",L46+J47)</f>
        <v/>
      </c>
      <c r="M47" s="13" t="str">
        <f aca="false">IF(E47="","",M46+K47)</f>
        <v/>
      </c>
    </row>
    <row r="48" customFormat="false" ht="15" hidden="false" customHeight="false" outlineLevel="0" collapsed="false">
      <c r="A48" s="10"/>
      <c r="B48" s="11"/>
      <c r="C48" s="11"/>
      <c r="D48" s="11"/>
      <c r="E48" s="12"/>
      <c r="F48" s="12"/>
      <c r="G48" s="13" t="str">
        <f aca="false">IF(E48="","",E48*$B$9+$B$10)</f>
        <v/>
      </c>
      <c r="H48" s="13" t="str">
        <f aca="false">IF(E48="","",IF(OR(D48="CA",D48="California"),E48*$B$5,0))</f>
        <v/>
      </c>
      <c r="I48" s="13" t="str">
        <f aca="false">IF(E48="","",E48-F48-G48)</f>
        <v/>
      </c>
      <c r="J48" s="13" t="str">
        <f aca="false">IF(E48="","",I48)</f>
        <v/>
      </c>
      <c r="K48" s="13" t="str">
        <f aca="false">IF(E48="","",J48*($B$6+$B$7+$B$8)+H48)</f>
        <v/>
      </c>
      <c r="L48" s="13" t="str">
        <f aca="false">IF(E48="","",L47+J48)</f>
        <v/>
      </c>
      <c r="M48" s="13" t="str">
        <f aca="false">IF(E48="","",M47+K48)</f>
        <v/>
      </c>
    </row>
    <row r="49" customFormat="false" ht="15" hidden="false" customHeight="false" outlineLevel="0" collapsed="false">
      <c r="A49" s="10"/>
      <c r="B49" s="11"/>
      <c r="C49" s="11"/>
      <c r="D49" s="11"/>
      <c r="E49" s="12"/>
      <c r="F49" s="12"/>
      <c r="G49" s="13" t="str">
        <f aca="false">IF(E49="","",E49*$B$9+$B$10)</f>
        <v/>
      </c>
      <c r="H49" s="13" t="str">
        <f aca="false">IF(E49="","",IF(OR(D49="CA",D49="California"),E49*$B$5,0))</f>
        <v/>
      </c>
      <c r="I49" s="13" t="str">
        <f aca="false">IF(E49="","",E49-F49-G49)</f>
        <v/>
      </c>
      <c r="J49" s="13" t="str">
        <f aca="false">IF(E49="","",I49)</f>
        <v/>
      </c>
      <c r="K49" s="13" t="str">
        <f aca="false">IF(E49="","",J49*($B$6+$B$7+$B$8)+H49)</f>
        <v/>
      </c>
      <c r="L49" s="13" t="str">
        <f aca="false">IF(E49="","",L48+J49)</f>
        <v/>
      </c>
      <c r="M49" s="13" t="str">
        <f aca="false">IF(E49="","",M48+K49)</f>
        <v/>
      </c>
    </row>
    <row r="50" customFormat="false" ht="15" hidden="false" customHeight="false" outlineLevel="0" collapsed="false">
      <c r="A50" s="10"/>
      <c r="B50" s="11"/>
      <c r="C50" s="11"/>
      <c r="D50" s="11"/>
      <c r="E50" s="12"/>
      <c r="F50" s="12"/>
      <c r="G50" s="13" t="str">
        <f aca="false">IF(E50="","",E50*$B$9+$B$10)</f>
        <v/>
      </c>
      <c r="H50" s="13" t="str">
        <f aca="false">IF(E50="","",IF(OR(D50="CA",D50="California"),E50*$B$5,0))</f>
        <v/>
      </c>
      <c r="I50" s="13" t="str">
        <f aca="false">IF(E50="","",E50-F50-G50)</f>
        <v/>
      </c>
      <c r="J50" s="13" t="str">
        <f aca="false">IF(E50="","",I50)</f>
        <v/>
      </c>
      <c r="K50" s="13" t="str">
        <f aca="false">IF(E50="","",J50*($B$6+$B$7+$B$8)+H50)</f>
        <v/>
      </c>
      <c r="L50" s="13" t="str">
        <f aca="false">IF(E50="","",L49+J50)</f>
        <v/>
      </c>
      <c r="M50" s="13" t="str">
        <f aca="false">IF(E50="","",M49+K50)</f>
        <v/>
      </c>
    </row>
    <row r="51" customFormat="false" ht="15" hidden="false" customHeight="false" outlineLevel="0" collapsed="false">
      <c r="A51" s="10"/>
      <c r="B51" s="11"/>
      <c r="C51" s="11"/>
      <c r="D51" s="11"/>
      <c r="E51" s="12"/>
      <c r="F51" s="12"/>
      <c r="G51" s="13" t="str">
        <f aca="false">IF(E51="","",E51*$B$9+$B$10)</f>
        <v/>
      </c>
      <c r="H51" s="13" t="str">
        <f aca="false">IF(E51="","",IF(OR(D51="CA",D51="California"),E51*$B$5,0))</f>
        <v/>
      </c>
      <c r="I51" s="13" t="str">
        <f aca="false">IF(E51="","",E51-F51-G51)</f>
        <v/>
      </c>
      <c r="J51" s="13" t="str">
        <f aca="false">IF(E51="","",I51)</f>
        <v/>
      </c>
      <c r="K51" s="13" t="str">
        <f aca="false">IF(E51="","",J51*($B$6+$B$7+$B$8)+H51)</f>
        <v/>
      </c>
      <c r="L51" s="13" t="str">
        <f aca="false">IF(E51="","",L50+J51)</f>
        <v/>
      </c>
      <c r="M51" s="13" t="str">
        <f aca="false">IF(E51="","",M50+K51)</f>
        <v/>
      </c>
    </row>
    <row r="52" customFormat="false" ht="15" hidden="false" customHeight="false" outlineLevel="0" collapsed="false">
      <c r="A52" s="10"/>
      <c r="B52" s="11"/>
      <c r="C52" s="11"/>
      <c r="D52" s="11"/>
      <c r="E52" s="12"/>
      <c r="F52" s="12"/>
      <c r="G52" s="13" t="str">
        <f aca="false">IF(E52="","",E52*$B$9+$B$10)</f>
        <v/>
      </c>
      <c r="H52" s="13" t="str">
        <f aca="false">IF(E52="","",IF(OR(D52="CA",D52="California"),E52*$B$5,0))</f>
        <v/>
      </c>
      <c r="I52" s="13" t="str">
        <f aca="false">IF(E52="","",E52-F52-G52)</f>
        <v/>
      </c>
      <c r="J52" s="13" t="str">
        <f aca="false">IF(E52="","",I52)</f>
        <v/>
      </c>
      <c r="K52" s="13" t="str">
        <f aca="false">IF(E52="","",J52*($B$6+$B$7+$B$8)+H52)</f>
        <v/>
      </c>
      <c r="L52" s="13" t="str">
        <f aca="false">IF(E52="","",L51+J52)</f>
        <v/>
      </c>
      <c r="M52" s="13" t="str">
        <f aca="false">IF(E52="","",M51+K52)</f>
        <v/>
      </c>
    </row>
    <row r="53" customFormat="false" ht="15" hidden="false" customHeight="false" outlineLevel="0" collapsed="false">
      <c r="A53" s="10"/>
      <c r="B53" s="11"/>
      <c r="C53" s="11"/>
      <c r="D53" s="11"/>
      <c r="E53" s="12"/>
      <c r="F53" s="12"/>
      <c r="G53" s="13" t="str">
        <f aca="false">IF(E53="","",E53*$B$9+$B$10)</f>
        <v/>
      </c>
      <c r="H53" s="13" t="str">
        <f aca="false">IF(E53="","",IF(OR(D53="CA",D53="California"),E53*$B$5,0))</f>
        <v/>
      </c>
      <c r="I53" s="13" t="str">
        <f aca="false">IF(E53="","",E53-F53-G53)</f>
        <v/>
      </c>
      <c r="J53" s="13" t="str">
        <f aca="false">IF(E53="","",I53)</f>
        <v/>
      </c>
      <c r="K53" s="13" t="str">
        <f aca="false">IF(E53="","",J53*($B$6+$B$7+$B$8)+H53)</f>
        <v/>
      </c>
      <c r="L53" s="13" t="str">
        <f aca="false">IF(E53="","",L52+J53)</f>
        <v/>
      </c>
      <c r="M53" s="13" t="str">
        <f aca="false">IF(E53="","",M52+K53)</f>
        <v/>
      </c>
    </row>
    <row r="54" customFormat="false" ht="15" hidden="false" customHeight="false" outlineLevel="0" collapsed="false">
      <c r="A54" s="10"/>
      <c r="B54" s="11"/>
      <c r="C54" s="11"/>
      <c r="D54" s="11"/>
      <c r="E54" s="12"/>
      <c r="F54" s="12"/>
      <c r="G54" s="13" t="str">
        <f aca="false">IF(E54="","",E54*$B$9+$B$10)</f>
        <v/>
      </c>
      <c r="H54" s="13" t="str">
        <f aca="false">IF(E54="","",IF(OR(D54="CA",D54="California"),E54*$B$5,0))</f>
        <v/>
      </c>
      <c r="I54" s="13" t="str">
        <f aca="false">IF(E54="","",E54-F54-G54)</f>
        <v/>
      </c>
      <c r="J54" s="13" t="str">
        <f aca="false">IF(E54="","",I54)</f>
        <v/>
      </c>
      <c r="K54" s="13" t="str">
        <f aca="false">IF(E54="","",J54*($B$6+$B$7+$B$8)+H54)</f>
        <v/>
      </c>
      <c r="L54" s="13" t="str">
        <f aca="false">IF(E54="","",L53+J54)</f>
        <v/>
      </c>
      <c r="M54" s="13" t="str">
        <f aca="false">IF(E54="","",M53+K54)</f>
        <v/>
      </c>
    </row>
    <row r="55" customFormat="false" ht="15" hidden="false" customHeight="false" outlineLevel="0" collapsed="false">
      <c r="A55" s="10"/>
      <c r="B55" s="11"/>
      <c r="C55" s="11"/>
      <c r="D55" s="11"/>
      <c r="E55" s="12"/>
      <c r="F55" s="12"/>
      <c r="G55" s="13" t="str">
        <f aca="false">IF(E55="","",E55*$B$9+$B$10)</f>
        <v/>
      </c>
      <c r="H55" s="13" t="str">
        <f aca="false">IF(E55="","",IF(OR(D55="CA",D55="California"),E55*$B$5,0))</f>
        <v/>
      </c>
      <c r="I55" s="13" t="str">
        <f aca="false">IF(E55="","",E55-F55-G55)</f>
        <v/>
      </c>
      <c r="J55" s="13" t="str">
        <f aca="false">IF(E55="","",I55)</f>
        <v/>
      </c>
      <c r="K55" s="13" t="str">
        <f aca="false">IF(E55="","",J55*($B$6+$B$7+$B$8)+H55)</f>
        <v/>
      </c>
      <c r="L55" s="13" t="str">
        <f aca="false">IF(E55="","",L54+J55)</f>
        <v/>
      </c>
      <c r="M55" s="13" t="str">
        <f aca="false">IF(E55="","",M54+K55)</f>
        <v/>
      </c>
    </row>
    <row r="56" customFormat="false" ht="15" hidden="false" customHeight="false" outlineLevel="0" collapsed="false">
      <c r="A56" s="10"/>
      <c r="B56" s="11"/>
      <c r="C56" s="11"/>
      <c r="D56" s="11"/>
      <c r="E56" s="12"/>
      <c r="F56" s="12"/>
      <c r="G56" s="13" t="str">
        <f aca="false">IF(E56="","",E56*$B$9+$B$10)</f>
        <v/>
      </c>
      <c r="H56" s="13" t="str">
        <f aca="false">IF(E56="","",IF(OR(D56="CA",D56="California"),E56*$B$5,0))</f>
        <v/>
      </c>
      <c r="I56" s="13" t="str">
        <f aca="false">IF(E56="","",E56-F56-G56)</f>
        <v/>
      </c>
      <c r="J56" s="13" t="str">
        <f aca="false">IF(E56="","",I56)</f>
        <v/>
      </c>
      <c r="K56" s="13" t="str">
        <f aca="false">IF(E56="","",J56*($B$6+$B$7+$B$8)+H56)</f>
        <v/>
      </c>
      <c r="L56" s="13" t="str">
        <f aca="false">IF(E56="","",L55+J56)</f>
        <v/>
      </c>
      <c r="M56" s="13" t="str">
        <f aca="false">IF(E56="","",M55+K56)</f>
        <v/>
      </c>
    </row>
    <row r="57" customFormat="false" ht="15" hidden="false" customHeight="false" outlineLevel="0" collapsed="false">
      <c r="A57" s="10"/>
      <c r="B57" s="11"/>
      <c r="C57" s="11"/>
      <c r="D57" s="11"/>
      <c r="E57" s="12"/>
      <c r="F57" s="12"/>
      <c r="G57" s="13" t="str">
        <f aca="false">IF(E57="","",E57*$B$9+$B$10)</f>
        <v/>
      </c>
      <c r="H57" s="13" t="str">
        <f aca="false">IF(E57="","",IF(OR(D57="CA",D57="California"),E57*$B$5,0))</f>
        <v/>
      </c>
      <c r="I57" s="13" t="str">
        <f aca="false">IF(E57="","",E57-F57-G57)</f>
        <v/>
      </c>
      <c r="J57" s="13" t="str">
        <f aca="false">IF(E57="","",I57)</f>
        <v/>
      </c>
      <c r="K57" s="13" t="str">
        <f aca="false">IF(E57="","",J57*($B$6+$B$7+$B$8)+H57)</f>
        <v/>
      </c>
      <c r="L57" s="13" t="str">
        <f aca="false">IF(E57="","",L56+J57)</f>
        <v/>
      </c>
      <c r="M57" s="13" t="str">
        <f aca="false">IF(E57="","",M56+K57)</f>
        <v/>
      </c>
    </row>
    <row r="58" customFormat="false" ht="15" hidden="false" customHeight="false" outlineLevel="0" collapsed="false">
      <c r="A58" s="10"/>
      <c r="B58" s="11"/>
      <c r="C58" s="11"/>
      <c r="D58" s="11"/>
      <c r="E58" s="12"/>
      <c r="F58" s="12"/>
      <c r="G58" s="13" t="str">
        <f aca="false">IF(E58="","",E58*$B$9+$B$10)</f>
        <v/>
      </c>
      <c r="H58" s="13" t="str">
        <f aca="false">IF(E58="","",IF(OR(D58="CA",D58="California"),E58*$B$5,0))</f>
        <v/>
      </c>
      <c r="I58" s="13" t="str">
        <f aca="false">IF(E58="","",E58-F58-G58)</f>
        <v/>
      </c>
      <c r="J58" s="13" t="str">
        <f aca="false">IF(E58="","",I58)</f>
        <v/>
      </c>
      <c r="K58" s="13" t="str">
        <f aca="false">IF(E58="","",J58*($B$6+$B$7+$B$8)+H58)</f>
        <v/>
      </c>
      <c r="L58" s="13" t="str">
        <f aca="false">IF(E58="","",L57+J58)</f>
        <v/>
      </c>
      <c r="M58" s="13" t="str">
        <f aca="false">IF(E58="","",M57+K58)</f>
        <v/>
      </c>
    </row>
    <row r="59" customFormat="false" ht="15" hidden="false" customHeight="false" outlineLevel="0" collapsed="false">
      <c r="A59" s="10"/>
      <c r="B59" s="11"/>
      <c r="C59" s="11"/>
      <c r="D59" s="11"/>
      <c r="E59" s="12"/>
      <c r="F59" s="12"/>
      <c r="G59" s="13" t="str">
        <f aca="false">IF(E59="","",E59*$B$9+$B$10)</f>
        <v/>
      </c>
      <c r="H59" s="13" t="str">
        <f aca="false">IF(E59="","",IF(OR(D59="CA",D59="California"),E59*$B$5,0))</f>
        <v/>
      </c>
      <c r="I59" s="13" t="str">
        <f aca="false">IF(E59="","",E59-F59-G59)</f>
        <v/>
      </c>
      <c r="J59" s="13" t="str">
        <f aca="false">IF(E59="","",I59)</f>
        <v/>
      </c>
      <c r="K59" s="13" t="str">
        <f aca="false">IF(E59="","",J59*($B$6+$B$7+$B$8)+H59)</f>
        <v/>
      </c>
      <c r="L59" s="13" t="str">
        <f aca="false">IF(E59="","",L58+J59)</f>
        <v/>
      </c>
      <c r="M59" s="13" t="str">
        <f aca="false">IF(E59="","",M58+K59)</f>
        <v/>
      </c>
    </row>
    <row r="60" customFormat="false" ht="15" hidden="false" customHeight="false" outlineLevel="0" collapsed="false">
      <c r="A60" s="10"/>
      <c r="B60" s="11"/>
      <c r="C60" s="11"/>
      <c r="D60" s="11"/>
      <c r="E60" s="12"/>
      <c r="F60" s="12"/>
      <c r="G60" s="13" t="str">
        <f aca="false">IF(E60="","",E60*$B$9+$B$10)</f>
        <v/>
      </c>
      <c r="H60" s="13" t="str">
        <f aca="false">IF(E60="","",IF(OR(D60="CA",D60="California"),E60*$B$5,0))</f>
        <v/>
      </c>
      <c r="I60" s="13" t="str">
        <f aca="false">IF(E60="","",E60-F60-G60)</f>
        <v/>
      </c>
      <c r="J60" s="13" t="str">
        <f aca="false">IF(E60="","",I60)</f>
        <v/>
      </c>
      <c r="K60" s="13" t="str">
        <f aca="false">IF(E60="","",J60*($B$6+$B$7+$B$8)+H60)</f>
        <v/>
      </c>
      <c r="L60" s="13" t="str">
        <f aca="false">IF(E60="","",L59+J60)</f>
        <v/>
      </c>
      <c r="M60" s="13" t="str">
        <f aca="false">IF(E60="","",M59+K60)</f>
        <v/>
      </c>
    </row>
    <row r="61" customFormat="false" ht="15" hidden="false" customHeight="false" outlineLevel="0" collapsed="false">
      <c r="A61" s="10"/>
      <c r="B61" s="11"/>
      <c r="C61" s="11"/>
      <c r="D61" s="11"/>
      <c r="E61" s="12"/>
      <c r="F61" s="12"/>
      <c r="G61" s="13" t="str">
        <f aca="false">IF(E61="","",E61*$B$9+$B$10)</f>
        <v/>
      </c>
      <c r="H61" s="13" t="str">
        <f aca="false">IF(E61="","",IF(OR(D61="CA",D61="California"),E61*$B$5,0))</f>
        <v/>
      </c>
      <c r="I61" s="13" t="str">
        <f aca="false">IF(E61="","",E61-F61-G61)</f>
        <v/>
      </c>
      <c r="J61" s="13" t="str">
        <f aca="false">IF(E61="","",I61)</f>
        <v/>
      </c>
      <c r="K61" s="13" t="str">
        <f aca="false">IF(E61="","",J61*($B$6+$B$7+$B$8)+H61)</f>
        <v/>
      </c>
      <c r="L61" s="13" t="str">
        <f aca="false">IF(E61="","",L60+J61)</f>
        <v/>
      </c>
      <c r="M61" s="13" t="str">
        <f aca="false">IF(E61="","",M60+K61)</f>
        <v/>
      </c>
    </row>
    <row r="62" customFormat="false" ht="15" hidden="false" customHeight="false" outlineLevel="0" collapsed="false">
      <c r="A62" s="10"/>
      <c r="B62" s="11"/>
      <c r="C62" s="11"/>
      <c r="D62" s="11"/>
      <c r="E62" s="12"/>
      <c r="F62" s="12"/>
      <c r="G62" s="13" t="str">
        <f aca="false">IF(E62="","",E62*$B$9+$B$10)</f>
        <v/>
      </c>
      <c r="H62" s="13" t="str">
        <f aca="false">IF(E62="","",IF(OR(D62="CA",D62="California"),E62*$B$5,0))</f>
        <v/>
      </c>
      <c r="I62" s="13" t="str">
        <f aca="false">IF(E62="","",E62-F62-G62)</f>
        <v/>
      </c>
      <c r="J62" s="13" t="str">
        <f aca="false">IF(E62="","",I62)</f>
        <v/>
      </c>
      <c r="K62" s="13" t="str">
        <f aca="false">IF(E62="","",J62*($B$6+$B$7+$B$8)+H62)</f>
        <v/>
      </c>
      <c r="L62" s="13" t="str">
        <f aca="false">IF(E62="","",L61+J62)</f>
        <v/>
      </c>
      <c r="M62" s="13" t="str">
        <f aca="false">IF(E62="","",M61+K62)</f>
        <v/>
      </c>
    </row>
    <row r="63" customFormat="false" ht="15" hidden="false" customHeight="false" outlineLevel="0" collapsed="false">
      <c r="A63" s="10"/>
      <c r="B63" s="11"/>
      <c r="C63" s="11"/>
      <c r="D63" s="11"/>
      <c r="E63" s="12"/>
      <c r="F63" s="12"/>
      <c r="G63" s="13" t="str">
        <f aca="false">IF(E63="","",E63*$B$9+$B$10)</f>
        <v/>
      </c>
      <c r="H63" s="13" t="str">
        <f aca="false">IF(E63="","",IF(OR(D63="CA",D63="California"),E63*$B$5,0))</f>
        <v/>
      </c>
      <c r="I63" s="13" t="str">
        <f aca="false">IF(E63="","",E63-F63-G63)</f>
        <v/>
      </c>
      <c r="J63" s="13" t="str">
        <f aca="false">IF(E63="","",I63)</f>
        <v/>
      </c>
      <c r="K63" s="13" t="str">
        <f aca="false">IF(E63="","",J63*($B$6+$B$7+$B$8)+H63)</f>
        <v/>
      </c>
      <c r="L63" s="13" t="str">
        <f aca="false">IF(E63="","",L62+J63)</f>
        <v/>
      </c>
      <c r="M63" s="13" t="str">
        <f aca="false">IF(E63="","",M62+K63)</f>
        <v/>
      </c>
    </row>
    <row r="64" customFormat="false" ht="15" hidden="false" customHeight="false" outlineLevel="0" collapsed="false">
      <c r="A64" s="10"/>
      <c r="B64" s="11"/>
      <c r="C64" s="11"/>
      <c r="D64" s="11"/>
      <c r="E64" s="12"/>
      <c r="F64" s="12"/>
      <c r="G64" s="13" t="str">
        <f aca="false">IF(E64="","",E64*$B$9+$B$10)</f>
        <v/>
      </c>
      <c r="H64" s="13" t="str">
        <f aca="false">IF(E64="","",IF(OR(D64="CA",D64="California"),E64*$B$5,0))</f>
        <v/>
      </c>
      <c r="I64" s="13" t="str">
        <f aca="false">IF(E64="","",E64-F64-G64)</f>
        <v/>
      </c>
      <c r="J64" s="13" t="str">
        <f aca="false">IF(E64="","",I64)</f>
        <v/>
      </c>
      <c r="K64" s="13" t="str">
        <f aca="false">IF(E64="","",J64*($B$6+$B$7+$B$8)+H64)</f>
        <v/>
      </c>
      <c r="L64" s="13" t="str">
        <f aca="false">IF(E64="","",L63+J64)</f>
        <v/>
      </c>
      <c r="M64" s="13" t="str">
        <f aca="false">IF(E64="","",M63+K64)</f>
        <v/>
      </c>
    </row>
    <row r="65" customFormat="false" ht="15" hidden="false" customHeight="false" outlineLevel="0" collapsed="false">
      <c r="A65" s="10"/>
      <c r="B65" s="11"/>
      <c r="C65" s="11"/>
      <c r="D65" s="11"/>
      <c r="E65" s="12"/>
      <c r="F65" s="12"/>
      <c r="G65" s="13" t="str">
        <f aca="false">IF(E65="","",E65*$B$9+$B$10)</f>
        <v/>
      </c>
      <c r="H65" s="13" t="str">
        <f aca="false">IF(E65="","",IF(OR(D65="CA",D65="California"),E65*$B$5,0))</f>
        <v/>
      </c>
      <c r="I65" s="13" t="str">
        <f aca="false">IF(E65="","",E65-F65-G65)</f>
        <v/>
      </c>
      <c r="J65" s="13" t="str">
        <f aca="false">IF(E65="","",I65)</f>
        <v/>
      </c>
      <c r="K65" s="13" t="str">
        <f aca="false">IF(E65="","",J65*($B$6+$B$7+$B$8)+H65)</f>
        <v/>
      </c>
      <c r="L65" s="13" t="str">
        <f aca="false">IF(E65="","",L64+J65)</f>
        <v/>
      </c>
      <c r="M65" s="13" t="str">
        <f aca="false">IF(E65="","",M64+K65)</f>
        <v/>
      </c>
    </row>
    <row r="66" customFormat="false" ht="15" hidden="false" customHeight="false" outlineLevel="0" collapsed="false">
      <c r="A66" s="10"/>
      <c r="B66" s="11"/>
      <c r="C66" s="11"/>
      <c r="D66" s="11"/>
      <c r="E66" s="12"/>
      <c r="F66" s="12"/>
      <c r="G66" s="13" t="str">
        <f aca="false">IF(E66="","",E66*$B$9+$B$10)</f>
        <v/>
      </c>
      <c r="H66" s="13" t="str">
        <f aca="false">IF(E66="","",IF(OR(D66="CA",D66="California"),E66*$B$5,0))</f>
        <v/>
      </c>
      <c r="I66" s="13" t="str">
        <f aca="false">IF(E66="","",E66-F66-G66)</f>
        <v/>
      </c>
      <c r="J66" s="13" t="str">
        <f aca="false">IF(E66="","",I66)</f>
        <v/>
      </c>
      <c r="K66" s="13" t="str">
        <f aca="false">IF(E66="","",J66*($B$6+$B$7+$B$8)+H66)</f>
        <v/>
      </c>
      <c r="L66" s="13" t="str">
        <f aca="false">IF(E66="","",L65+J66)</f>
        <v/>
      </c>
      <c r="M66" s="13" t="str">
        <f aca="false">IF(E66="","",M65+K66)</f>
        <v/>
      </c>
    </row>
    <row r="67" customFormat="false" ht="15" hidden="false" customHeight="false" outlineLevel="0" collapsed="false">
      <c r="A67" s="10"/>
      <c r="B67" s="11"/>
      <c r="C67" s="11"/>
      <c r="D67" s="11"/>
      <c r="E67" s="12"/>
      <c r="F67" s="12"/>
      <c r="G67" s="13" t="str">
        <f aca="false">IF(E67="","",E67*$B$9+$B$10)</f>
        <v/>
      </c>
      <c r="H67" s="13" t="str">
        <f aca="false">IF(E67="","",IF(OR(D67="CA",D67="California"),E67*$B$5,0))</f>
        <v/>
      </c>
      <c r="I67" s="13" t="str">
        <f aca="false">IF(E67="","",E67-F67-G67)</f>
        <v/>
      </c>
      <c r="J67" s="13" t="str">
        <f aca="false">IF(E67="","",I67)</f>
        <v/>
      </c>
      <c r="K67" s="13" t="str">
        <f aca="false">IF(E67="","",J67*($B$6+$B$7+$B$8)+H67)</f>
        <v/>
      </c>
      <c r="L67" s="13" t="str">
        <f aca="false">IF(E67="","",L66+J67)</f>
        <v/>
      </c>
      <c r="M67" s="13" t="str">
        <f aca="false">IF(E67="","",M66+K67)</f>
        <v/>
      </c>
    </row>
    <row r="68" customFormat="false" ht="15" hidden="false" customHeight="false" outlineLevel="0" collapsed="false">
      <c r="A68" s="10"/>
      <c r="B68" s="11"/>
      <c r="C68" s="11"/>
      <c r="D68" s="11"/>
      <c r="E68" s="12"/>
      <c r="F68" s="12"/>
      <c r="G68" s="13" t="str">
        <f aca="false">IF(E68="","",E68*$B$9+$B$10)</f>
        <v/>
      </c>
      <c r="H68" s="13" t="str">
        <f aca="false">IF(E68="","",IF(OR(D68="CA",D68="California"),E68*$B$5,0))</f>
        <v/>
      </c>
      <c r="I68" s="13" t="str">
        <f aca="false">IF(E68="","",E68-F68-G68)</f>
        <v/>
      </c>
      <c r="J68" s="13" t="str">
        <f aca="false">IF(E68="","",I68)</f>
        <v/>
      </c>
      <c r="K68" s="13" t="str">
        <f aca="false">IF(E68="","",J68*($B$6+$B$7+$B$8)+H68)</f>
        <v/>
      </c>
      <c r="L68" s="13" t="str">
        <f aca="false">IF(E68="","",L67+J68)</f>
        <v/>
      </c>
      <c r="M68" s="13" t="str">
        <f aca="false">IF(E68="","",M67+K68)</f>
        <v/>
      </c>
    </row>
    <row r="69" customFormat="false" ht="15" hidden="false" customHeight="false" outlineLevel="0" collapsed="false">
      <c r="A69" s="10"/>
      <c r="B69" s="11"/>
      <c r="C69" s="11"/>
      <c r="D69" s="11"/>
      <c r="E69" s="12"/>
      <c r="F69" s="12"/>
      <c r="G69" s="13" t="str">
        <f aca="false">IF(E69="","",E69*$B$9+$B$10)</f>
        <v/>
      </c>
      <c r="H69" s="13" t="str">
        <f aca="false">IF(E69="","",IF(OR(D69="CA",D69="California"),E69*$B$5,0))</f>
        <v/>
      </c>
      <c r="I69" s="13" t="str">
        <f aca="false">IF(E69="","",E69-F69-G69)</f>
        <v/>
      </c>
      <c r="J69" s="13" t="str">
        <f aca="false">IF(E69="","",I69)</f>
        <v/>
      </c>
      <c r="K69" s="13" t="str">
        <f aca="false">IF(E69="","",J69*($B$6+$B$7+$B$8)+H69)</f>
        <v/>
      </c>
      <c r="L69" s="13" t="str">
        <f aca="false">IF(E69="","",L68+J69)</f>
        <v/>
      </c>
      <c r="M69" s="13" t="str">
        <f aca="false">IF(E69="","",M68+K69)</f>
        <v/>
      </c>
    </row>
    <row r="70" customFormat="false" ht="15" hidden="false" customHeight="false" outlineLevel="0" collapsed="false">
      <c r="A70" s="10"/>
      <c r="B70" s="11"/>
      <c r="C70" s="11"/>
      <c r="D70" s="11"/>
      <c r="E70" s="12"/>
      <c r="F70" s="12"/>
      <c r="G70" s="13" t="str">
        <f aca="false">IF(E70="","",E70*$B$9+$B$10)</f>
        <v/>
      </c>
      <c r="H70" s="13" t="str">
        <f aca="false">IF(E70="","",IF(OR(D70="CA",D70="California"),E70*$B$5,0))</f>
        <v/>
      </c>
      <c r="I70" s="13" t="str">
        <f aca="false">IF(E70="","",E70-F70-G70)</f>
        <v/>
      </c>
      <c r="J70" s="13" t="str">
        <f aca="false">IF(E70="","",I70)</f>
        <v/>
      </c>
      <c r="K70" s="13" t="str">
        <f aca="false">IF(E70="","",J70*($B$6+$B$7+$B$8)+H70)</f>
        <v/>
      </c>
      <c r="L70" s="13" t="str">
        <f aca="false">IF(E70="","",L69+J70)</f>
        <v/>
      </c>
      <c r="M70" s="13" t="str">
        <f aca="false">IF(E70="","",M69+K70)</f>
        <v/>
      </c>
    </row>
    <row r="71" customFormat="false" ht="15" hidden="false" customHeight="false" outlineLevel="0" collapsed="false">
      <c r="A71" s="10"/>
      <c r="B71" s="11"/>
      <c r="C71" s="11"/>
      <c r="D71" s="11"/>
      <c r="E71" s="12"/>
      <c r="F71" s="12"/>
      <c r="G71" s="13" t="str">
        <f aca="false">IF(E71="","",E71*$B$9+$B$10)</f>
        <v/>
      </c>
      <c r="H71" s="13" t="str">
        <f aca="false">IF(E71="","",IF(OR(D71="CA",D71="California"),E71*$B$5,0))</f>
        <v/>
      </c>
      <c r="I71" s="13" t="str">
        <f aca="false">IF(E71="","",E71-F71-G71)</f>
        <v/>
      </c>
      <c r="J71" s="13" t="str">
        <f aca="false">IF(E71="","",I71)</f>
        <v/>
      </c>
      <c r="K71" s="13" t="str">
        <f aca="false">IF(E71="","",J71*($B$6+$B$7+$B$8)+H71)</f>
        <v/>
      </c>
      <c r="L71" s="13" t="str">
        <f aca="false">IF(E71="","",L70+J71)</f>
        <v/>
      </c>
      <c r="M71" s="13" t="str">
        <f aca="false">IF(E71="","",M70+K71)</f>
        <v/>
      </c>
    </row>
    <row r="72" customFormat="false" ht="15" hidden="false" customHeight="false" outlineLevel="0" collapsed="false">
      <c r="A72" s="10"/>
      <c r="B72" s="11"/>
      <c r="C72" s="11"/>
      <c r="D72" s="11"/>
      <c r="E72" s="12"/>
      <c r="F72" s="12"/>
      <c r="G72" s="13" t="str">
        <f aca="false">IF(E72="","",E72*$B$9+$B$10)</f>
        <v/>
      </c>
      <c r="H72" s="13" t="str">
        <f aca="false">IF(E72="","",IF(OR(D72="CA",D72="California"),E72*$B$5,0))</f>
        <v/>
      </c>
      <c r="I72" s="13" t="str">
        <f aca="false">IF(E72="","",E72-F72-G72)</f>
        <v/>
      </c>
      <c r="J72" s="13" t="str">
        <f aca="false">IF(E72="","",I72)</f>
        <v/>
      </c>
      <c r="K72" s="13" t="str">
        <f aca="false">IF(E72="","",J72*($B$6+$B$7+$B$8)+H72)</f>
        <v/>
      </c>
      <c r="L72" s="13" t="str">
        <f aca="false">IF(E72="","",L71+J72)</f>
        <v/>
      </c>
      <c r="M72" s="13" t="str">
        <f aca="false">IF(E72="","",M71+K72)</f>
        <v/>
      </c>
    </row>
    <row r="73" customFormat="false" ht="15" hidden="false" customHeight="false" outlineLevel="0" collapsed="false">
      <c r="A73" s="10"/>
      <c r="B73" s="11"/>
      <c r="C73" s="11"/>
      <c r="D73" s="11"/>
      <c r="E73" s="12"/>
      <c r="F73" s="12"/>
      <c r="G73" s="13" t="str">
        <f aca="false">IF(E73="","",E73*$B$9+$B$10)</f>
        <v/>
      </c>
      <c r="H73" s="13" t="str">
        <f aca="false">IF(E73="","",IF(OR(D73="CA",D73="California"),E73*$B$5,0))</f>
        <v/>
      </c>
      <c r="I73" s="13" t="str">
        <f aca="false">IF(E73="","",E73-F73-G73)</f>
        <v/>
      </c>
      <c r="J73" s="13" t="str">
        <f aca="false">IF(E73="","",I73)</f>
        <v/>
      </c>
      <c r="K73" s="13" t="str">
        <f aca="false">IF(E73="","",J73*($B$6+$B$7+$B$8)+H73)</f>
        <v/>
      </c>
      <c r="L73" s="13" t="str">
        <f aca="false">IF(E73="","",L72+J73)</f>
        <v/>
      </c>
      <c r="M73" s="13" t="str">
        <f aca="false">IF(E73="","",M72+K73)</f>
        <v/>
      </c>
    </row>
    <row r="74" customFormat="false" ht="15" hidden="false" customHeight="false" outlineLevel="0" collapsed="false">
      <c r="A74" s="10"/>
      <c r="B74" s="11"/>
      <c r="C74" s="11"/>
      <c r="D74" s="11"/>
      <c r="E74" s="12"/>
      <c r="F74" s="12"/>
      <c r="G74" s="13" t="str">
        <f aca="false">IF(E74="","",E74*$B$9+$B$10)</f>
        <v/>
      </c>
      <c r="H74" s="13" t="str">
        <f aca="false">IF(E74="","",IF(OR(D74="CA",D74="California"),E74*$B$5,0))</f>
        <v/>
      </c>
      <c r="I74" s="13" t="str">
        <f aca="false">IF(E74="","",E74-F74-G74)</f>
        <v/>
      </c>
      <c r="J74" s="13" t="str">
        <f aca="false">IF(E74="","",I74)</f>
        <v/>
      </c>
      <c r="K74" s="13" t="str">
        <f aca="false">IF(E74="","",J74*($B$6+$B$7+$B$8)+H74)</f>
        <v/>
      </c>
      <c r="L74" s="13" t="str">
        <f aca="false">IF(E74="","",L73+J74)</f>
        <v/>
      </c>
      <c r="M74" s="13" t="str">
        <f aca="false">IF(E74="","",M73+K74)</f>
        <v/>
      </c>
    </row>
    <row r="75" customFormat="false" ht="15" hidden="false" customHeight="false" outlineLevel="0" collapsed="false">
      <c r="A75" s="10"/>
      <c r="B75" s="11"/>
      <c r="C75" s="11"/>
      <c r="D75" s="11"/>
      <c r="E75" s="12"/>
      <c r="F75" s="12"/>
      <c r="G75" s="13" t="str">
        <f aca="false">IF(E75="","",E75*$B$9+$B$10)</f>
        <v/>
      </c>
      <c r="H75" s="13" t="str">
        <f aca="false">IF(E75="","",IF(OR(D75="CA",D75="California"),E75*$B$5,0))</f>
        <v/>
      </c>
      <c r="I75" s="13" t="str">
        <f aca="false">IF(E75="","",E75-F75-G75)</f>
        <v/>
      </c>
      <c r="J75" s="13" t="str">
        <f aca="false">IF(E75="","",I75)</f>
        <v/>
      </c>
      <c r="K75" s="13" t="str">
        <f aca="false">IF(E75="","",J75*($B$6+$B$7+$B$8)+H75)</f>
        <v/>
      </c>
      <c r="L75" s="13" t="str">
        <f aca="false">IF(E75="","",L74+J75)</f>
        <v/>
      </c>
      <c r="M75" s="13" t="str">
        <f aca="false">IF(E75="","",M74+K75)</f>
        <v/>
      </c>
    </row>
    <row r="76" customFormat="false" ht="15" hidden="false" customHeight="false" outlineLevel="0" collapsed="false">
      <c r="A76" s="10"/>
      <c r="B76" s="11"/>
      <c r="C76" s="11"/>
      <c r="D76" s="11"/>
      <c r="E76" s="12"/>
      <c r="F76" s="12"/>
      <c r="G76" s="13" t="str">
        <f aca="false">IF(E76="","",E76*$B$9+$B$10)</f>
        <v/>
      </c>
      <c r="H76" s="13" t="str">
        <f aca="false">IF(E76="","",IF(OR(D76="CA",D76="California"),E76*$B$5,0))</f>
        <v/>
      </c>
      <c r="I76" s="13" t="str">
        <f aca="false">IF(E76="","",E76-F76-G76)</f>
        <v/>
      </c>
      <c r="J76" s="13" t="str">
        <f aca="false">IF(E76="","",I76)</f>
        <v/>
      </c>
      <c r="K76" s="13" t="str">
        <f aca="false">IF(E76="","",J76*($B$6+$B$7+$B$8)+H76)</f>
        <v/>
      </c>
      <c r="L76" s="13" t="str">
        <f aca="false">IF(E76="","",L75+J76)</f>
        <v/>
      </c>
      <c r="M76" s="13" t="str">
        <f aca="false">IF(E76="","",M75+K76)</f>
        <v/>
      </c>
    </row>
    <row r="77" customFormat="false" ht="15" hidden="false" customHeight="false" outlineLevel="0" collapsed="false">
      <c r="A77" s="10"/>
      <c r="B77" s="11"/>
      <c r="C77" s="11"/>
      <c r="D77" s="11"/>
      <c r="E77" s="12"/>
      <c r="F77" s="12"/>
      <c r="G77" s="13" t="str">
        <f aca="false">IF(E77="","",E77*$B$9+$B$10)</f>
        <v/>
      </c>
      <c r="H77" s="13" t="str">
        <f aca="false">IF(E77="","",IF(OR(D77="CA",D77="California"),E77*$B$5,0))</f>
        <v/>
      </c>
      <c r="I77" s="13" t="str">
        <f aca="false">IF(E77="","",E77-F77-G77)</f>
        <v/>
      </c>
      <c r="J77" s="13" t="str">
        <f aca="false">IF(E77="","",I77)</f>
        <v/>
      </c>
      <c r="K77" s="13" t="str">
        <f aca="false">IF(E77="","",J77*($B$6+$B$7+$B$8)+H77)</f>
        <v/>
      </c>
      <c r="L77" s="13" t="str">
        <f aca="false">IF(E77="","",L76+J77)</f>
        <v/>
      </c>
      <c r="M77" s="13" t="str">
        <f aca="false">IF(E77="","",M76+K77)</f>
        <v/>
      </c>
    </row>
    <row r="78" customFormat="false" ht="15" hidden="false" customHeight="false" outlineLevel="0" collapsed="false">
      <c r="A78" s="10"/>
      <c r="B78" s="11"/>
      <c r="C78" s="11"/>
      <c r="D78" s="11"/>
      <c r="E78" s="12"/>
      <c r="F78" s="12"/>
      <c r="G78" s="13" t="str">
        <f aca="false">IF(E78="","",E78*$B$9+$B$10)</f>
        <v/>
      </c>
      <c r="H78" s="13" t="str">
        <f aca="false">IF(E78="","",IF(OR(D78="CA",D78="California"),E78*$B$5,0))</f>
        <v/>
      </c>
      <c r="I78" s="13" t="str">
        <f aca="false">IF(E78="","",E78-F78-G78)</f>
        <v/>
      </c>
      <c r="J78" s="13" t="str">
        <f aca="false">IF(E78="","",I78)</f>
        <v/>
      </c>
      <c r="K78" s="13" t="str">
        <f aca="false">IF(E78="","",J78*($B$6+$B$7+$B$8)+H78)</f>
        <v/>
      </c>
      <c r="L78" s="13" t="str">
        <f aca="false">IF(E78="","",L77+J78)</f>
        <v/>
      </c>
      <c r="M78" s="13" t="str">
        <f aca="false">IF(E78="","",M77+K78)</f>
        <v/>
      </c>
    </row>
    <row r="79" customFormat="false" ht="15" hidden="false" customHeight="false" outlineLevel="0" collapsed="false">
      <c r="A79" s="10"/>
      <c r="B79" s="11"/>
      <c r="C79" s="11"/>
      <c r="D79" s="11"/>
      <c r="E79" s="12"/>
      <c r="F79" s="12"/>
      <c r="G79" s="13" t="str">
        <f aca="false">IF(E79="","",E79*$B$9+$B$10)</f>
        <v/>
      </c>
      <c r="H79" s="13" t="str">
        <f aca="false">IF(E79="","",IF(OR(D79="CA",D79="California"),E79*$B$5,0))</f>
        <v/>
      </c>
      <c r="I79" s="13" t="str">
        <f aca="false">IF(E79="","",E79-F79-G79)</f>
        <v/>
      </c>
      <c r="J79" s="13" t="str">
        <f aca="false">IF(E79="","",I79)</f>
        <v/>
      </c>
      <c r="K79" s="13" t="str">
        <f aca="false">IF(E79="","",J79*($B$6+$B$7+$B$8)+H79)</f>
        <v/>
      </c>
      <c r="L79" s="13" t="str">
        <f aca="false">IF(E79="","",L78+J79)</f>
        <v/>
      </c>
      <c r="M79" s="13" t="str">
        <f aca="false">IF(E79="","",M78+K79)</f>
        <v/>
      </c>
    </row>
    <row r="80" customFormat="false" ht="15" hidden="false" customHeight="false" outlineLevel="0" collapsed="false">
      <c r="A80" s="10"/>
      <c r="B80" s="11"/>
      <c r="C80" s="11"/>
      <c r="D80" s="11"/>
      <c r="E80" s="12"/>
      <c r="F80" s="12"/>
      <c r="G80" s="13" t="str">
        <f aca="false">IF(E80="","",E80*$B$9+$B$10)</f>
        <v/>
      </c>
      <c r="H80" s="13" t="str">
        <f aca="false">IF(E80="","",IF(OR(D80="CA",D80="California"),E80*$B$5,0))</f>
        <v/>
      </c>
      <c r="I80" s="13" t="str">
        <f aca="false">IF(E80="","",E80-F80-G80)</f>
        <v/>
      </c>
      <c r="J80" s="13" t="str">
        <f aca="false">IF(E80="","",I80)</f>
        <v/>
      </c>
      <c r="K80" s="13" t="str">
        <f aca="false">IF(E80="","",J80*($B$6+$B$7+$B$8)+H80)</f>
        <v/>
      </c>
      <c r="L80" s="13" t="str">
        <f aca="false">IF(E80="","",L79+J80)</f>
        <v/>
      </c>
      <c r="M80" s="13" t="str">
        <f aca="false">IF(E80="","",M79+K80)</f>
        <v/>
      </c>
    </row>
    <row r="81" customFormat="false" ht="15" hidden="false" customHeight="false" outlineLevel="0" collapsed="false">
      <c r="A81" s="10"/>
      <c r="B81" s="11"/>
      <c r="C81" s="11"/>
      <c r="D81" s="11"/>
      <c r="E81" s="12"/>
      <c r="F81" s="12"/>
      <c r="G81" s="13" t="str">
        <f aca="false">IF(E81="","",E81*$B$9+$B$10)</f>
        <v/>
      </c>
      <c r="H81" s="13" t="str">
        <f aca="false">IF(E81="","",IF(OR(D81="CA",D81="California"),E81*$B$5,0))</f>
        <v/>
      </c>
      <c r="I81" s="13" t="str">
        <f aca="false">IF(E81="","",E81-F81-G81)</f>
        <v/>
      </c>
      <c r="J81" s="13" t="str">
        <f aca="false">IF(E81="","",I81)</f>
        <v/>
      </c>
      <c r="K81" s="13" t="str">
        <f aca="false">IF(E81="","",J81*($B$6+$B$7+$B$8)+H81)</f>
        <v/>
      </c>
      <c r="L81" s="13" t="str">
        <f aca="false">IF(E81="","",L80+J81)</f>
        <v/>
      </c>
      <c r="M81" s="13" t="str">
        <f aca="false">IF(E81="","",M80+K81)</f>
        <v/>
      </c>
    </row>
    <row r="82" customFormat="false" ht="15" hidden="false" customHeight="false" outlineLevel="0" collapsed="false">
      <c r="A82" s="10"/>
      <c r="B82" s="11"/>
      <c r="C82" s="11"/>
      <c r="D82" s="11"/>
      <c r="E82" s="12"/>
      <c r="F82" s="12"/>
      <c r="G82" s="13" t="str">
        <f aca="false">IF(E82="","",E82*$B$9+$B$10)</f>
        <v/>
      </c>
      <c r="H82" s="13" t="str">
        <f aca="false">IF(E82="","",IF(OR(D82="CA",D82="California"),E82*$B$5,0))</f>
        <v/>
      </c>
      <c r="I82" s="13" t="str">
        <f aca="false">IF(E82="","",E82-F82-G82)</f>
        <v/>
      </c>
      <c r="J82" s="13" t="str">
        <f aca="false">IF(E82="","",I82)</f>
        <v/>
      </c>
      <c r="K82" s="13" t="str">
        <f aca="false">IF(E82="","",J82*($B$6+$B$7+$B$8)+H82)</f>
        <v/>
      </c>
      <c r="L82" s="13" t="str">
        <f aca="false">IF(E82="","",L81+J82)</f>
        <v/>
      </c>
      <c r="M82" s="13" t="str">
        <f aca="false">IF(E82="","",M81+K82)</f>
        <v/>
      </c>
    </row>
    <row r="83" customFormat="false" ht="15" hidden="false" customHeight="false" outlineLevel="0" collapsed="false">
      <c r="A83" s="10"/>
      <c r="B83" s="11"/>
      <c r="C83" s="11"/>
      <c r="D83" s="11"/>
      <c r="E83" s="12"/>
      <c r="F83" s="12"/>
      <c r="G83" s="13" t="str">
        <f aca="false">IF(E83="","",E83*$B$9+$B$10)</f>
        <v/>
      </c>
      <c r="H83" s="13" t="str">
        <f aca="false">IF(E83="","",IF(OR(D83="CA",D83="California"),E83*$B$5,0))</f>
        <v/>
      </c>
      <c r="I83" s="13" t="str">
        <f aca="false">IF(E83="","",E83-F83-G83)</f>
        <v/>
      </c>
      <c r="J83" s="13" t="str">
        <f aca="false">IF(E83="","",I83)</f>
        <v/>
      </c>
      <c r="K83" s="13" t="str">
        <f aca="false">IF(E83="","",J83*($B$6+$B$7+$B$8)+H83)</f>
        <v/>
      </c>
      <c r="L83" s="13" t="str">
        <f aca="false">IF(E83="","",L82+J83)</f>
        <v/>
      </c>
      <c r="M83" s="13" t="str">
        <f aca="false">IF(E83="","",M82+K83)</f>
        <v/>
      </c>
    </row>
    <row r="84" customFormat="false" ht="15" hidden="false" customHeight="false" outlineLevel="0" collapsed="false">
      <c r="A84" s="10"/>
      <c r="B84" s="11"/>
      <c r="C84" s="11"/>
      <c r="D84" s="11"/>
      <c r="E84" s="12"/>
      <c r="F84" s="12"/>
      <c r="G84" s="13" t="str">
        <f aca="false">IF(E84="","",E84*$B$9+$B$10)</f>
        <v/>
      </c>
      <c r="H84" s="13" t="str">
        <f aca="false">IF(E84="","",IF(OR(D84="CA",D84="California"),E84*$B$5,0))</f>
        <v/>
      </c>
      <c r="I84" s="13" t="str">
        <f aca="false">IF(E84="","",E84-F84-G84)</f>
        <v/>
      </c>
      <c r="J84" s="13" t="str">
        <f aca="false">IF(E84="","",I84)</f>
        <v/>
      </c>
      <c r="K84" s="13" t="str">
        <f aca="false">IF(E84="","",J84*($B$6+$B$7+$B$8)+H84)</f>
        <v/>
      </c>
      <c r="L84" s="13" t="str">
        <f aca="false">IF(E84="","",L83+J84)</f>
        <v/>
      </c>
      <c r="M84" s="13" t="str">
        <f aca="false">IF(E84="","",M83+K84)</f>
        <v/>
      </c>
    </row>
    <row r="85" customFormat="false" ht="15" hidden="false" customHeight="false" outlineLevel="0" collapsed="false">
      <c r="A85" s="10"/>
      <c r="B85" s="11"/>
      <c r="C85" s="11"/>
      <c r="D85" s="11"/>
      <c r="E85" s="12"/>
      <c r="F85" s="12"/>
      <c r="G85" s="13" t="str">
        <f aca="false">IF(E85="","",E85*$B$9+$B$10)</f>
        <v/>
      </c>
      <c r="H85" s="13" t="str">
        <f aca="false">IF(E85="","",IF(OR(D85="CA",D85="California"),E85*$B$5,0))</f>
        <v/>
      </c>
      <c r="I85" s="13" t="str">
        <f aca="false">IF(E85="","",E85-F85-G85)</f>
        <v/>
      </c>
      <c r="J85" s="13" t="str">
        <f aca="false">IF(E85="","",I85)</f>
        <v/>
      </c>
      <c r="K85" s="13" t="str">
        <f aca="false">IF(E85="","",J85*($B$6+$B$7+$B$8)+H85)</f>
        <v/>
      </c>
      <c r="L85" s="13" t="str">
        <f aca="false">IF(E85="","",L84+J85)</f>
        <v/>
      </c>
      <c r="M85" s="13" t="str">
        <f aca="false">IF(E85="","",M84+K85)</f>
        <v/>
      </c>
    </row>
    <row r="86" customFormat="false" ht="15" hidden="false" customHeight="false" outlineLevel="0" collapsed="false">
      <c r="A86" s="10"/>
      <c r="B86" s="11"/>
      <c r="C86" s="11"/>
      <c r="D86" s="11"/>
      <c r="E86" s="12"/>
      <c r="F86" s="12"/>
      <c r="G86" s="13" t="str">
        <f aca="false">IF(E86="","",E86*$B$9+$B$10)</f>
        <v/>
      </c>
      <c r="H86" s="13" t="str">
        <f aca="false">IF(E86="","",IF(OR(D86="CA",D86="California"),E86*$B$5,0))</f>
        <v/>
      </c>
      <c r="I86" s="13" t="str">
        <f aca="false">IF(E86="","",E86-F86-G86)</f>
        <v/>
      </c>
      <c r="J86" s="13" t="str">
        <f aca="false">IF(E86="","",I86)</f>
        <v/>
      </c>
      <c r="K86" s="13" t="str">
        <f aca="false">IF(E86="","",J86*($B$6+$B$7+$B$8)+H86)</f>
        <v/>
      </c>
      <c r="L86" s="13" t="str">
        <f aca="false">IF(E86="","",L85+J86)</f>
        <v/>
      </c>
      <c r="M86" s="13" t="str">
        <f aca="false">IF(E86="","",M85+K86)</f>
        <v/>
      </c>
    </row>
    <row r="87" customFormat="false" ht="15" hidden="false" customHeight="false" outlineLevel="0" collapsed="false">
      <c r="A87" s="10"/>
      <c r="B87" s="11"/>
      <c r="C87" s="11"/>
      <c r="D87" s="11"/>
      <c r="E87" s="12"/>
      <c r="F87" s="12"/>
      <c r="G87" s="13" t="str">
        <f aca="false">IF(E87="","",E87*$B$9+$B$10)</f>
        <v/>
      </c>
      <c r="H87" s="13" t="str">
        <f aca="false">IF(E87="","",IF(OR(D87="CA",D87="California"),E87*$B$5,0))</f>
        <v/>
      </c>
      <c r="I87" s="13" t="str">
        <f aca="false">IF(E87="","",E87-F87-G87)</f>
        <v/>
      </c>
      <c r="J87" s="13" t="str">
        <f aca="false">IF(E87="","",I87)</f>
        <v/>
      </c>
      <c r="K87" s="13" t="str">
        <f aca="false">IF(E87="","",J87*($B$6+$B$7+$B$8)+H87)</f>
        <v/>
      </c>
      <c r="L87" s="13" t="str">
        <f aca="false">IF(E87="","",L86+J87)</f>
        <v/>
      </c>
      <c r="M87" s="13" t="str">
        <f aca="false">IF(E87="","",M86+K87)</f>
        <v/>
      </c>
    </row>
    <row r="88" customFormat="false" ht="15" hidden="false" customHeight="false" outlineLevel="0" collapsed="false">
      <c r="A88" s="10"/>
      <c r="B88" s="11"/>
      <c r="C88" s="11"/>
      <c r="D88" s="11"/>
      <c r="E88" s="12"/>
      <c r="F88" s="12"/>
      <c r="G88" s="13" t="str">
        <f aca="false">IF(E88="","",E88*$B$9+$B$10)</f>
        <v/>
      </c>
      <c r="H88" s="13" t="str">
        <f aca="false">IF(E88="","",IF(OR(D88="CA",D88="California"),E88*$B$5,0))</f>
        <v/>
      </c>
      <c r="I88" s="13" t="str">
        <f aca="false">IF(E88="","",E88-F88-G88)</f>
        <v/>
      </c>
      <c r="J88" s="13" t="str">
        <f aca="false">IF(E88="","",I88)</f>
        <v/>
      </c>
      <c r="K88" s="13" t="str">
        <f aca="false">IF(E88="","",J88*($B$6+$B$7+$B$8)+H88)</f>
        <v/>
      </c>
      <c r="L88" s="13" t="str">
        <f aca="false">IF(E88="","",L87+J88)</f>
        <v/>
      </c>
      <c r="M88" s="13" t="str">
        <f aca="false">IF(E88="","",M87+K88)</f>
        <v/>
      </c>
    </row>
    <row r="89" customFormat="false" ht="15" hidden="false" customHeight="false" outlineLevel="0" collapsed="false">
      <c r="A89" s="10"/>
      <c r="B89" s="11"/>
      <c r="C89" s="11"/>
      <c r="D89" s="11"/>
      <c r="E89" s="12"/>
      <c r="F89" s="12"/>
      <c r="G89" s="13" t="str">
        <f aca="false">IF(E89="","",E89*$B$9+$B$10)</f>
        <v/>
      </c>
      <c r="H89" s="13" t="str">
        <f aca="false">IF(E89="","",IF(OR(D89="CA",D89="California"),E89*$B$5,0))</f>
        <v/>
      </c>
      <c r="I89" s="13" t="str">
        <f aca="false">IF(E89="","",E89-F89-G89)</f>
        <v/>
      </c>
      <c r="J89" s="13" t="str">
        <f aca="false">IF(E89="","",I89)</f>
        <v/>
      </c>
      <c r="K89" s="13" t="str">
        <f aca="false">IF(E89="","",J89*($B$6+$B$7+$B$8)+H89)</f>
        <v/>
      </c>
      <c r="L89" s="13" t="str">
        <f aca="false">IF(E89="","",L88+J89)</f>
        <v/>
      </c>
      <c r="M89" s="13" t="str">
        <f aca="false">IF(E89="","",M88+K89)</f>
        <v/>
      </c>
    </row>
    <row r="90" customFormat="false" ht="15" hidden="false" customHeight="false" outlineLevel="0" collapsed="false">
      <c r="A90" s="10"/>
      <c r="B90" s="11"/>
      <c r="C90" s="11"/>
      <c r="D90" s="11"/>
      <c r="E90" s="12"/>
      <c r="F90" s="12"/>
      <c r="G90" s="13" t="str">
        <f aca="false">IF(E90="","",E90*$B$9+$B$10)</f>
        <v/>
      </c>
      <c r="H90" s="13" t="str">
        <f aca="false">IF(E90="","",IF(OR(D90="CA",D90="California"),E90*$B$5,0))</f>
        <v/>
      </c>
      <c r="I90" s="13" t="str">
        <f aca="false">IF(E90="","",E90-F90-G90)</f>
        <v/>
      </c>
      <c r="J90" s="13" t="str">
        <f aca="false">IF(E90="","",I90)</f>
        <v/>
      </c>
      <c r="K90" s="13" t="str">
        <f aca="false">IF(E90="","",J90*($B$6+$B$7+$B$8)+H90)</f>
        <v/>
      </c>
      <c r="L90" s="13" t="str">
        <f aca="false">IF(E90="","",L89+J90)</f>
        <v/>
      </c>
      <c r="M90" s="13" t="str">
        <f aca="false">IF(E90="","",M89+K90)</f>
        <v/>
      </c>
    </row>
    <row r="91" customFormat="false" ht="15" hidden="false" customHeight="false" outlineLevel="0" collapsed="false">
      <c r="A91" s="10"/>
      <c r="B91" s="11"/>
      <c r="C91" s="11"/>
      <c r="D91" s="11"/>
      <c r="E91" s="12"/>
      <c r="F91" s="12"/>
      <c r="G91" s="13" t="str">
        <f aca="false">IF(E91="","",E91*$B$9+$B$10)</f>
        <v/>
      </c>
      <c r="H91" s="13" t="str">
        <f aca="false">IF(E91="","",IF(OR(D91="CA",D91="California"),E91*$B$5,0))</f>
        <v/>
      </c>
      <c r="I91" s="13" t="str">
        <f aca="false">IF(E91="","",E91-F91-G91)</f>
        <v/>
      </c>
      <c r="J91" s="13" t="str">
        <f aca="false">IF(E91="","",I91)</f>
        <v/>
      </c>
      <c r="K91" s="13" t="str">
        <f aca="false">IF(E91="","",J91*($B$6+$B$7+$B$8)+H91)</f>
        <v/>
      </c>
      <c r="L91" s="13" t="str">
        <f aca="false">IF(E91="","",L90+J91)</f>
        <v/>
      </c>
      <c r="M91" s="13" t="str">
        <f aca="false">IF(E91="","",M90+K91)</f>
        <v/>
      </c>
    </row>
    <row r="92" customFormat="false" ht="15" hidden="false" customHeight="false" outlineLevel="0" collapsed="false">
      <c r="A92" s="10"/>
      <c r="B92" s="11"/>
      <c r="C92" s="11"/>
      <c r="D92" s="11"/>
      <c r="E92" s="12"/>
      <c r="F92" s="12"/>
      <c r="G92" s="13" t="str">
        <f aca="false">IF(E92="","",E92*$B$9+$B$10)</f>
        <v/>
      </c>
      <c r="H92" s="13" t="str">
        <f aca="false">IF(E92="","",IF(OR(D92="CA",D92="California"),E92*$B$5,0))</f>
        <v/>
      </c>
      <c r="I92" s="13" t="str">
        <f aca="false">IF(E92="","",E92-F92-G92)</f>
        <v/>
      </c>
      <c r="J92" s="13" t="str">
        <f aca="false">IF(E92="","",I92)</f>
        <v/>
      </c>
      <c r="K92" s="13" t="str">
        <f aca="false">IF(E92="","",J92*($B$6+$B$7+$B$8)+H92)</f>
        <v/>
      </c>
      <c r="L92" s="13" t="str">
        <f aca="false">IF(E92="","",L91+J92)</f>
        <v/>
      </c>
      <c r="M92" s="13" t="str">
        <f aca="false">IF(E92="","",M91+K92)</f>
        <v/>
      </c>
    </row>
    <row r="93" customFormat="false" ht="15" hidden="false" customHeight="false" outlineLevel="0" collapsed="false">
      <c r="A93" s="10"/>
      <c r="B93" s="11"/>
      <c r="C93" s="11"/>
      <c r="D93" s="11"/>
      <c r="E93" s="12"/>
      <c r="F93" s="12"/>
      <c r="G93" s="13" t="str">
        <f aca="false">IF(E93="","",E93*$B$9+$B$10)</f>
        <v/>
      </c>
      <c r="H93" s="13" t="str">
        <f aca="false">IF(E93="","",IF(OR(D93="CA",D93="California"),E93*$B$5,0))</f>
        <v/>
      </c>
      <c r="I93" s="13" t="str">
        <f aca="false">IF(E93="","",E93-F93-G93)</f>
        <v/>
      </c>
      <c r="J93" s="13" t="str">
        <f aca="false">IF(E93="","",I93)</f>
        <v/>
      </c>
      <c r="K93" s="13" t="str">
        <f aca="false">IF(E93="","",J93*($B$6+$B$7+$B$8)+H93)</f>
        <v/>
      </c>
      <c r="L93" s="13" t="str">
        <f aca="false">IF(E93="","",L92+J93)</f>
        <v/>
      </c>
      <c r="M93" s="13" t="str">
        <f aca="false">IF(E93="","",M92+K93)</f>
        <v/>
      </c>
    </row>
    <row r="94" customFormat="false" ht="15" hidden="false" customHeight="false" outlineLevel="0" collapsed="false">
      <c r="A94" s="10"/>
      <c r="B94" s="11"/>
      <c r="C94" s="11"/>
      <c r="D94" s="11"/>
      <c r="E94" s="12"/>
      <c r="F94" s="12"/>
      <c r="G94" s="13" t="str">
        <f aca="false">IF(E94="","",E94*$B$9+$B$10)</f>
        <v/>
      </c>
      <c r="H94" s="13" t="str">
        <f aca="false">IF(E94="","",IF(OR(D94="CA",D94="California"),E94*$B$5,0))</f>
        <v/>
      </c>
      <c r="I94" s="13" t="str">
        <f aca="false">IF(E94="","",E94-F94-G94)</f>
        <v/>
      </c>
      <c r="J94" s="13" t="str">
        <f aca="false">IF(E94="","",I94)</f>
        <v/>
      </c>
      <c r="K94" s="13" t="str">
        <f aca="false">IF(E94="","",J94*($B$6+$B$7+$B$8)+H94)</f>
        <v/>
      </c>
      <c r="L94" s="13" t="str">
        <f aca="false">IF(E94="","",L93+J94)</f>
        <v/>
      </c>
      <c r="M94" s="13" t="str">
        <f aca="false">IF(E94="","",M93+K94)</f>
        <v/>
      </c>
    </row>
    <row r="95" customFormat="false" ht="15" hidden="false" customHeight="false" outlineLevel="0" collapsed="false">
      <c r="A95" s="10"/>
      <c r="B95" s="11"/>
      <c r="C95" s="11"/>
      <c r="D95" s="11"/>
      <c r="E95" s="12"/>
      <c r="F95" s="12"/>
      <c r="G95" s="13" t="str">
        <f aca="false">IF(E95="","",E95*$B$9+$B$10)</f>
        <v/>
      </c>
      <c r="H95" s="13" t="str">
        <f aca="false">IF(E95="","",IF(OR(D95="CA",D95="California"),E95*$B$5,0))</f>
        <v/>
      </c>
      <c r="I95" s="13" t="str">
        <f aca="false">IF(E95="","",E95-F95-G95)</f>
        <v/>
      </c>
      <c r="J95" s="13" t="str">
        <f aca="false">IF(E95="","",I95)</f>
        <v/>
      </c>
      <c r="K95" s="13" t="str">
        <f aca="false">IF(E95="","",J95*($B$6+$B$7+$B$8)+H95)</f>
        <v/>
      </c>
      <c r="L95" s="13" t="str">
        <f aca="false">IF(E95="","",L94+J95)</f>
        <v/>
      </c>
      <c r="M95" s="13" t="str">
        <f aca="false">IF(E95="","",M94+K95)</f>
        <v/>
      </c>
    </row>
    <row r="96" customFormat="false" ht="15" hidden="false" customHeight="false" outlineLevel="0" collapsed="false">
      <c r="A96" s="10"/>
      <c r="B96" s="11"/>
      <c r="C96" s="11"/>
      <c r="D96" s="11"/>
      <c r="E96" s="12"/>
      <c r="F96" s="12"/>
      <c r="G96" s="13" t="str">
        <f aca="false">IF(E96="","",E96*$B$9+$B$10)</f>
        <v/>
      </c>
      <c r="H96" s="13" t="str">
        <f aca="false">IF(E96="","",IF(OR(D96="CA",D96="California"),E96*$B$5,0))</f>
        <v/>
      </c>
      <c r="I96" s="13" t="str">
        <f aca="false">IF(E96="","",E96-F96-G96)</f>
        <v/>
      </c>
      <c r="J96" s="13" t="str">
        <f aca="false">IF(E96="","",I96)</f>
        <v/>
      </c>
      <c r="K96" s="13" t="str">
        <f aca="false">IF(E96="","",J96*($B$6+$B$7+$B$8)+H96)</f>
        <v/>
      </c>
      <c r="L96" s="13" t="str">
        <f aca="false">IF(E96="","",L95+J96)</f>
        <v/>
      </c>
      <c r="M96" s="13" t="str">
        <f aca="false">IF(E96="","",M95+K96)</f>
        <v/>
      </c>
    </row>
    <row r="97" customFormat="false" ht="15" hidden="false" customHeight="false" outlineLevel="0" collapsed="false">
      <c r="A97" s="10"/>
      <c r="B97" s="11"/>
      <c r="C97" s="11"/>
      <c r="D97" s="11"/>
      <c r="E97" s="12"/>
      <c r="F97" s="12"/>
      <c r="G97" s="13" t="str">
        <f aca="false">IF(E97="","",E97*$B$9+$B$10)</f>
        <v/>
      </c>
      <c r="H97" s="13" t="str">
        <f aca="false">IF(E97="","",IF(OR(D97="CA",D97="California"),E97*$B$5,0))</f>
        <v/>
      </c>
      <c r="I97" s="13" t="str">
        <f aca="false">IF(E97="","",E97-F97-G97)</f>
        <v/>
      </c>
      <c r="J97" s="13" t="str">
        <f aca="false">IF(E97="","",I97)</f>
        <v/>
      </c>
      <c r="K97" s="13" t="str">
        <f aca="false">IF(E97="","",J97*($B$6+$B$7+$B$8)+H97)</f>
        <v/>
      </c>
      <c r="L97" s="13" t="str">
        <f aca="false">IF(E97="","",L96+J97)</f>
        <v/>
      </c>
      <c r="M97" s="13" t="str">
        <f aca="false">IF(E97="","",M96+K97)</f>
        <v/>
      </c>
    </row>
    <row r="98" customFormat="false" ht="15" hidden="false" customHeight="false" outlineLevel="0" collapsed="false">
      <c r="A98" s="10"/>
      <c r="B98" s="11"/>
      <c r="C98" s="11"/>
      <c r="D98" s="11"/>
      <c r="E98" s="12"/>
      <c r="F98" s="12"/>
      <c r="G98" s="13" t="str">
        <f aca="false">IF(E98="","",E98*$B$9+$B$10)</f>
        <v/>
      </c>
      <c r="H98" s="13" t="str">
        <f aca="false">IF(E98="","",IF(OR(D98="CA",D98="California"),E98*$B$5,0))</f>
        <v/>
      </c>
      <c r="I98" s="13" t="str">
        <f aca="false">IF(E98="","",E98-F98-G98)</f>
        <v/>
      </c>
      <c r="J98" s="13" t="str">
        <f aca="false">IF(E98="","",I98)</f>
        <v/>
      </c>
      <c r="K98" s="13" t="str">
        <f aca="false">IF(E98="","",J98*($B$6+$B$7+$B$8)+H98)</f>
        <v/>
      </c>
      <c r="L98" s="13" t="str">
        <f aca="false">IF(E98="","",L97+J98)</f>
        <v/>
      </c>
      <c r="M98" s="13" t="str">
        <f aca="false">IF(E98="","",M97+K98)</f>
        <v/>
      </c>
    </row>
    <row r="99" customFormat="false" ht="15" hidden="false" customHeight="false" outlineLevel="0" collapsed="false">
      <c r="A99" s="10"/>
      <c r="B99" s="11"/>
      <c r="C99" s="11"/>
      <c r="D99" s="11"/>
      <c r="E99" s="12"/>
      <c r="F99" s="12"/>
      <c r="G99" s="13" t="str">
        <f aca="false">IF(E99="","",E99*$B$9+$B$10)</f>
        <v/>
      </c>
      <c r="H99" s="13" t="str">
        <f aca="false">IF(E99="","",IF(OR(D99="CA",D99="California"),E99*$B$5,0))</f>
        <v/>
      </c>
      <c r="I99" s="13" t="str">
        <f aca="false">IF(E99="","",E99-F99-G99)</f>
        <v/>
      </c>
      <c r="J99" s="13" t="str">
        <f aca="false">IF(E99="","",I99)</f>
        <v/>
      </c>
      <c r="K99" s="13" t="str">
        <f aca="false">IF(E99="","",J99*($B$6+$B$7+$B$8)+H99)</f>
        <v/>
      </c>
      <c r="L99" s="13" t="str">
        <f aca="false">IF(E99="","",L98+J99)</f>
        <v/>
      </c>
      <c r="M99" s="13" t="str">
        <f aca="false">IF(E99="","",M98+K99)</f>
        <v/>
      </c>
    </row>
    <row r="100" customFormat="false" ht="15" hidden="false" customHeight="false" outlineLevel="0" collapsed="false">
      <c r="A100" s="10"/>
      <c r="B100" s="11"/>
      <c r="C100" s="11"/>
      <c r="D100" s="11"/>
      <c r="E100" s="12"/>
      <c r="F100" s="12"/>
      <c r="G100" s="13" t="str">
        <f aca="false">IF(E100="","",E100*$B$9+$B$10)</f>
        <v/>
      </c>
      <c r="H100" s="13" t="str">
        <f aca="false">IF(E100="","",IF(OR(D100="CA",D100="California"),E100*$B$5,0))</f>
        <v/>
      </c>
      <c r="I100" s="13" t="str">
        <f aca="false">IF(E100="","",E100-F100-G100)</f>
        <v/>
      </c>
      <c r="J100" s="13" t="str">
        <f aca="false">IF(E100="","",I100)</f>
        <v/>
      </c>
      <c r="K100" s="13" t="str">
        <f aca="false">IF(E100="","",J100*($B$6+$B$7+$B$8)+H100)</f>
        <v/>
      </c>
      <c r="L100" s="13" t="str">
        <f aca="false">IF(E100="","",L99+J100)</f>
        <v/>
      </c>
      <c r="M100" s="13" t="str">
        <f aca="false">IF(E100="","",M99+K100)</f>
        <v/>
      </c>
    </row>
    <row r="101" customFormat="false" ht="15" hidden="false" customHeight="false" outlineLevel="0" collapsed="false">
      <c r="A101" s="10"/>
      <c r="B101" s="11"/>
      <c r="C101" s="11"/>
      <c r="D101" s="11"/>
      <c r="E101" s="12"/>
      <c r="F101" s="12"/>
      <c r="G101" s="13" t="str">
        <f aca="false">IF(E101="","",E101*$B$9+$B$10)</f>
        <v/>
      </c>
      <c r="H101" s="13" t="str">
        <f aca="false">IF(E101="","",IF(OR(D101="CA",D101="California"),E101*$B$5,0))</f>
        <v/>
      </c>
      <c r="I101" s="13" t="str">
        <f aca="false">IF(E101="","",E101-F101-G101)</f>
        <v/>
      </c>
      <c r="J101" s="13" t="str">
        <f aca="false">IF(E101="","",I101)</f>
        <v/>
      </c>
      <c r="K101" s="13" t="str">
        <f aca="false">IF(E101="","",J101*($B$6+$B$7+$B$8)+H101)</f>
        <v/>
      </c>
      <c r="L101" s="13" t="str">
        <f aca="false">IF(E101="","",L100+J101)</f>
        <v/>
      </c>
      <c r="M101" s="13" t="str">
        <f aca="false">IF(E101="","",M100+K101)</f>
        <v/>
      </c>
    </row>
    <row r="102" customFormat="false" ht="15" hidden="false" customHeight="false" outlineLevel="0" collapsed="false">
      <c r="A102" s="10"/>
      <c r="B102" s="11"/>
      <c r="C102" s="11"/>
      <c r="D102" s="11"/>
      <c r="E102" s="12"/>
      <c r="F102" s="12"/>
      <c r="G102" s="13" t="str">
        <f aca="false">IF(E102="","",E102*$B$9+$B$10)</f>
        <v/>
      </c>
      <c r="H102" s="13" t="str">
        <f aca="false">IF(E102="","",IF(OR(D102="CA",D102="California"),E102*$B$5,0))</f>
        <v/>
      </c>
      <c r="I102" s="13" t="str">
        <f aca="false">IF(E102="","",E102-F102-G102)</f>
        <v/>
      </c>
      <c r="J102" s="13" t="str">
        <f aca="false">IF(E102="","",I102)</f>
        <v/>
      </c>
      <c r="K102" s="13" t="str">
        <f aca="false">IF(E102="","",J102*($B$6+$B$7+$B$8)+H102)</f>
        <v/>
      </c>
      <c r="L102" s="13" t="str">
        <f aca="false">IF(E102="","",L101+J102)</f>
        <v/>
      </c>
      <c r="M102" s="13" t="str">
        <f aca="false">IF(E102="","",M101+K102)</f>
        <v/>
      </c>
    </row>
    <row r="103" customFormat="false" ht="15" hidden="false" customHeight="false" outlineLevel="0" collapsed="false">
      <c r="A103" s="10"/>
      <c r="B103" s="11"/>
      <c r="C103" s="11"/>
      <c r="D103" s="11"/>
      <c r="E103" s="12"/>
      <c r="F103" s="12"/>
      <c r="G103" s="13" t="str">
        <f aca="false">IF(E103="","",E103*$B$9+$B$10)</f>
        <v/>
      </c>
      <c r="H103" s="13" t="str">
        <f aca="false">IF(E103="","",IF(OR(D103="CA",D103="California"),E103*$B$5,0))</f>
        <v/>
      </c>
      <c r="I103" s="13" t="str">
        <f aca="false">IF(E103="","",E103-F103-G103)</f>
        <v/>
      </c>
      <c r="J103" s="13" t="str">
        <f aca="false">IF(E103="","",I103)</f>
        <v/>
      </c>
      <c r="K103" s="13" t="str">
        <f aca="false">IF(E103="","",J103*($B$6+$B$7+$B$8)+H103)</f>
        <v/>
      </c>
      <c r="L103" s="13" t="str">
        <f aca="false">IF(E103="","",L102+J103)</f>
        <v/>
      </c>
      <c r="M103" s="13" t="str">
        <f aca="false">IF(E103="","",M102+K103)</f>
        <v/>
      </c>
    </row>
    <row r="104" customFormat="false" ht="15" hidden="false" customHeight="false" outlineLevel="0" collapsed="false">
      <c r="A104" s="10"/>
      <c r="B104" s="11"/>
      <c r="C104" s="11"/>
      <c r="D104" s="11"/>
      <c r="E104" s="12"/>
      <c r="F104" s="12"/>
      <c r="G104" s="13" t="str">
        <f aca="false">IF(E104="","",E104*$B$9+$B$10)</f>
        <v/>
      </c>
      <c r="H104" s="13" t="str">
        <f aca="false">IF(E104="","",IF(OR(D104="CA",D104="California"),E104*$B$5,0))</f>
        <v/>
      </c>
      <c r="I104" s="13" t="str">
        <f aca="false">IF(E104="","",E104-F104-G104)</f>
        <v/>
      </c>
      <c r="J104" s="13" t="str">
        <f aca="false">IF(E104="","",I104)</f>
        <v/>
      </c>
      <c r="K104" s="13" t="str">
        <f aca="false">IF(E104="","",J104*($B$6+$B$7+$B$8)+H104)</f>
        <v/>
      </c>
      <c r="L104" s="13" t="str">
        <f aca="false">IF(E104="","",L103+J104)</f>
        <v/>
      </c>
      <c r="M104" s="13" t="str">
        <f aca="false">IF(E104="","",M103+K104)</f>
        <v/>
      </c>
    </row>
    <row r="105" customFormat="false" ht="15" hidden="false" customHeight="false" outlineLevel="0" collapsed="false">
      <c r="A105" s="10"/>
      <c r="B105" s="11"/>
      <c r="C105" s="11"/>
      <c r="D105" s="11"/>
      <c r="E105" s="12"/>
      <c r="F105" s="12"/>
      <c r="G105" s="13" t="str">
        <f aca="false">IF(E105="","",E105*$B$9+$B$10)</f>
        <v/>
      </c>
      <c r="H105" s="13" t="str">
        <f aca="false">IF(E105="","",IF(OR(D105="CA",D105="California"),E105*$B$5,0))</f>
        <v/>
      </c>
      <c r="I105" s="13" t="str">
        <f aca="false">IF(E105="","",E105-F105-G105)</f>
        <v/>
      </c>
      <c r="J105" s="13" t="str">
        <f aca="false">IF(E105="","",I105)</f>
        <v/>
      </c>
      <c r="K105" s="13" t="str">
        <f aca="false">IF(E105="","",J105*($B$6+$B$7+$B$8)+H105)</f>
        <v/>
      </c>
      <c r="L105" s="13" t="str">
        <f aca="false">IF(E105="","",L104+J105)</f>
        <v/>
      </c>
      <c r="M105" s="13" t="str">
        <f aca="false">IF(E105="","",M104+K105)</f>
        <v/>
      </c>
    </row>
    <row r="106" customFormat="false" ht="15" hidden="false" customHeight="false" outlineLevel="0" collapsed="false">
      <c r="A106" s="10"/>
      <c r="B106" s="11"/>
      <c r="C106" s="11"/>
      <c r="D106" s="11"/>
      <c r="E106" s="12"/>
      <c r="F106" s="12"/>
      <c r="G106" s="13" t="str">
        <f aca="false">IF(E106="","",E106*$B$9+$B$10)</f>
        <v/>
      </c>
      <c r="H106" s="13" t="str">
        <f aca="false">IF(E106="","",IF(OR(D106="CA",D106="California"),E106*$B$5,0))</f>
        <v/>
      </c>
      <c r="I106" s="13" t="str">
        <f aca="false">IF(E106="","",E106-F106-G106)</f>
        <v/>
      </c>
      <c r="J106" s="13" t="str">
        <f aca="false">IF(E106="","",I106)</f>
        <v/>
      </c>
      <c r="K106" s="13" t="str">
        <f aca="false">IF(E106="","",J106*($B$6+$B$7+$B$8)+H106)</f>
        <v/>
      </c>
      <c r="L106" s="13" t="str">
        <f aca="false">IF(E106="","",L105+J106)</f>
        <v/>
      </c>
      <c r="M106" s="13" t="str">
        <f aca="false">IF(E106="","",M105+K106)</f>
        <v/>
      </c>
    </row>
    <row r="107" customFormat="false" ht="15" hidden="false" customHeight="false" outlineLevel="0" collapsed="false">
      <c r="A107" s="10"/>
      <c r="B107" s="11"/>
      <c r="C107" s="11"/>
      <c r="D107" s="11"/>
      <c r="E107" s="12"/>
      <c r="F107" s="12"/>
      <c r="G107" s="13" t="str">
        <f aca="false">IF(E107="","",E107*$B$9+$B$10)</f>
        <v/>
      </c>
      <c r="H107" s="13" t="str">
        <f aca="false">IF(E107="","",IF(OR(D107="CA",D107="California"),E107*$B$5,0))</f>
        <v/>
      </c>
      <c r="I107" s="13" t="str">
        <f aca="false">IF(E107="","",E107-F107-G107)</f>
        <v/>
      </c>
      <c r="J107" s="13" t="str">
        <f aca="false">IF(E107="","",I107)</f>
        <v/>
      </c>
      <c r="K107" s="13" t="str">
        <f aca="false">IF(E107="","",J107*($B$6+$B$7+$B$8)+H107)</f>
        <v/>
      </c>
      <c r="L107" s="13" t="str">
        <f aca="false">IF(E107="","",L106+J107)</f>
        <v/>
      </c>
      <c r="M107" s="13" t="str">
        <f aca="false">IF(E107="","",M106+K107)</f>
        <v/>
      </c>
    </row>
    <row r="108" customFormat="false" ht="15" hidden="false" customHeight="false" outlineLevel="0" collapsed="false">
      <c r="A108" s="10"/>
      <c r="B108" s="11"/>
      <c r="C108" s="11"/>
      <c r="D108" s="11"/>
      <c r="E108" s="12"/>
      <c r="F108" s="12"/>
      <c r="G108" s="13" t="str">
        <f aca="false">IF(E108="","",E108*$B$9+$B$10)</f>
        <v/>
      </c>
      <c r="H108" s="13" t="str">
        <f aca="false">IF(E108="","",IF(OR(D108="CA",D108="California"),E108*$B$5,0))</f>
        <v/>
      </c>
      <c r="I108" s="13" t="str">
        <f aca="false">IF(E108="","",E108-F108-G108)</f>
        <v/>
      </c>
      <c r="J108" s="13" t="str">
        <f aca="false">IF(E108="","",I108)</f>
        <v/>
      </c>
      <c r="K108" s="13" t="str">
        <f aca="false">IF(E108="","",J108*($B$6+$B$7+$B$8)+H108)</f>
        <v/>
      </c>
      <c r="L108" s="13" t="str">
        <f aca="false">IF(E108="","",L107+J108)</f>
        <v/>
      </c>
      <c r="M108" s="13" t="str">
        <f aca="false">IF(E108="","",M107+K108)</f>
        <v/>
      </c>
    </row>
    <row r="109" customFormat="false" ht="15" hidden="false" customHeight="false" outlineLevel="0" collapsed="false">
      <c r="A109" s="10"/>
      <c r="B109" s="11"/>
      <c r="C109" s="11"/>
      <c r="D109" s="11"/>
      <c r="E109" s="12"/>
      <c r="F109" s="12"/>
      <c r="G109" s="13" t="str">
        <f aca="false">IF(E109="","",E109*$B$9+$B$10)</f>
        <v/>
      </c>
      <c r="H109" s="13" t="str">
        <f aca="false">IF(E109="","",IF(OR(D109="CA",D109="California"),E109*$B$5,0))</f>
        <v/>
      </c>
      <c r="I109" s="13" t="str">
        <f aca="false">IF(E109="","",E109-F109-G109)</f>
        <v/>
      </c>
      <c r="J109" s="13" t="str">
        <f aca="false">IF(E109="","",I109)</f>
        <v/>
      </c>
      <c r="K109" s="13" t="str">
        <f aca="false">IF(E109="","",J109*($B$6+$B$7+$B$8)+H109)</f>
        <v/>
      </c>
      <c r="L109" s="13" t="str">
        <f aca="false">IF(E109="","",L108+J109)</f>
        <v/>
      </c>
      <c r="M109" s="13" t="str">
        <f aca="false">IF(E109="","",M108+K109)</f>
        <v/>
      </c>
    </row>
    <row r="110" customFormat="false" ht="15" hidden="false" customHeight="false" outlineLevel="0" collapsed="false">
      <c r="A110" s="10"/>
      <c r="B110" s="11"/>
      <c r="C110" s="11"/>
      <c r="D110" s="11"/>
      <c r="E110" s="12"/>
      <c r="F110" s="12"/>
      <c r="G110" s="13" t="str">
        <f aca="false">IF(E110="","",E110*$B$9+$B$10)</f>
        <v/>
      </c>
      <c r="H110" s="13" t="str">
        <f aca="false">IF(E110="","",IF(OR(D110="CA",D110="California"),E110*$B$5,0))</f>
        <v/>
      </c>
      <c r="I110" s="13" t="str">
        <f aca="false">IF(E110="","",E110-F110-G110)</f>
        <v/>
      </c>
      <c r="J110" s="13" t="str">
        <f aca="false">IF(E110="","",I110)</f>
        <v/>
      </c>
      <c r="K110" s="13" t="str">
        <f aca="false">IF(E110="","",J110*($B$6+$B$7+$B$8)+H110)</f>
        <v/>
      </c>
      <c r="L110" s="13" t="str">
        <f aca="false">IF(E110="","",L109+J110)</f>
        <v/>
      </c>
      <c r="M110" s="13" t="str">
        <f aca="false">IF(E110="","",M109+K110)</f>
        <v/>
      </c>
    </row>
    <row r="111" customFormat="false" ht="15" hidden="false" customHeight="false" outlineLevel="0" collapsed="false">
      <c r="A111" s="10"/>
      <c r="B111" s="11"/>
      <c r="C111" s="11"/>
      <c r="D111" s="11"/>
      <c r="E111" s="12"/>
      <c r="F111" s="12"/>
      <c r="G111" s="13" t="str">
        <f aca="false">IF(E111="","",E111*$B$9+$B$10)</f>
        <v/>
      </c>
      <c r="H111" s="13" t="str">
        <f aca="false">IF(E111="","",IF(OR(D111="CA",D111="California"),E111*$B$5,0))</f>
        <v/>
      </c>
      <c r="I111" s="13" t="str">
        <f aca="false">IF(E111="","",E111-F111-G111)</f>
        <v/>
      </c>
      <c r="J111" s="13" t="str">
        <f aca="false">IF(E111="","",I111)</f>
        <v/>
      </c>
      <c r="K111" s="13" t="str">
        <f aca="false">IF(E111="","",J111*($B$6+$B$7+$B$8)+H111)</f>
        <v/>
      </c>
      <c r="L111" s="13" t="str">
        <f aca="false">IF(E111="","",L110+J111)</f>
        <v/>
      </c>
      <c r="M111" s="13" t="str">
        <f aca="false">IF(E111="","",M110+K111)</f>
        <v/>
      </c>
    </row>
    <row r="112" customFormat="false" ht="15" hidden="false" customHeight="false" outlineLevel="0" collapsed="false">
      <c r="A112" s="10"/>
      <c r="B112" s="11"/>
      <c r="C112" s="11"/>
      <c r="D112" s="11"/>
      <c r="E112" s="12"/>
      <c r="F112" s="12"/>
      <c r="G112" s="13" t="str">
        <f aca="false">IF(E112="","",E112*$B$9+$B$10)</f>
        <v/>
      </c>
      <c r="H112" s="13" t="str">
        <f aca="false">IF(E112="","",IF(OR(D112="CA",D112="California"),E112*$B$5,0))</f>
        <v/>
      </c>
      <c r="I112" s="13" t="str">
        <f aca="false">IF(E112="","",E112-F112-G112)</f>
        <v/>
      </c>
      <c r="J112" s="13" t="str">
        <f aca="false">IF(E112="","",I112)</f>
        <v/>
      </c>
      <c r="K112" s="13" t="str">
        <f aca="false">IF(E112="","",J112*($B$6+$B$7+$B$8)+H112)</f>
        <v/>
      </c>
      <c r="L112" s="13" t="str">
        <f aca="false">IF(E112="","",L111+J112)</f>
        <v/>
      </c>
      <c r="M112" s="13" t="str">
        <f aca="false">IF(E112="","",M111+K112)</f>
        <v/>
      </c>
    </row>
    <row r="113" customFormat="false" ht="15" hidden="false" customHeight="false" outlineLevel="0" collapsed="false">
      <c r="A113" s="14" t="s">
        <v>24</v>
      </c>
      <c r="E113" s="15" t="n">
        <f aca="false">SUM(E13:E112)</f>
        <v>0</v>
      </c>
      <c r="F113" s="15" t="n">
        <f aca="false">SUM(F13:F112)</f>
        <v>0</v>
      </c>
      <c r="G113" s="15" t="n">
        <f aca="false">SUM(G13:G112)</f>
        <v>0</v>
      </c>
      <c r="H113" s="15" t="n">
        <f aca="false">SUM(H13:H112)</f>
        <v>0</v>
      </c>
      <c r="I113" s="15" t="n">
        <f aca="false">SUM(I13:I112)</f>
        <v>0</v>
      </c>
      <c r="J113" s="15" t="n">
        <f aca="false">SUM(J13:J112)</f>
        <v>0</v>
      </c>
      <c r="K113" s="15" t="n">
        <f aca="false">SUM(K13:K112)</f>
        <v>0</v>
      </c>
    </row>
  </sheetData>
  <mergeCells count="4">
    <mergeCell ref="A1:M1"/>
    <mergeCell ref="A2:M2"/>
    <mergeCell ref="D4:H4"/>
    <mergeCell ref="D5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16" t="s">
        <v>25</v>
      </c>
      <c r="B1" s="16"/>
      <c r="C1" s="16"/>
      <c r="D1" s="16"/>
      <c r="E1" s="16"/>
      <c r="F1" s="16"/>
      <c r="G1" s="16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7" t="s">
        <v>11</v>
      </c>
      <c r="B4" s="17" t="s">
        <v>27</v>
      </c>
      <c r="C4" s="17" t="s">
        <v>28</v>
      </c>
      <c r="D4" s="17" t="s">
        <v>29</v>
      </c>
      <c r="E4" s="17" t="s">
        <v>30</v>
      </c>
      <c r="F4" s="17" t="s">
        <v>31</v>
      </c>
      <c r="G4" s="17" t="s">
        <v>32</v>
      </c>
    </row>
    <row r="5" customFormat="false" ht="15" hidden="false" customHeight="false" outlineLevel="0" collapsed="false">
      <c r="A5" s="18" t="s">
        <v>33</v>
      </c>
      <c r="B5" s="18"/>
      <c r="C5" s="18"/>
      <c r="D5" s="18"/>
      <c r="E5" s="18"/>
      <c r="F5" s="18"/>
      <c r="G5" s="18"/>
    </row>
    <row r="6" customFormat="false" ht="15" hidden="false" customHeight="false" outlineLevel="0" collapsed="false">
      <c r="A6" s="10"/>
      <c r="B6" s="11"/>
      <c r="C6" s="11"/>
      <c r="D6" s="12"/>
      <c r="E6" s="11"/>
      <c r="F6" s="11"/>
      <c r="G6" s="11"/>
    </row>
    <row r="7" customFormat="false" ht="15" hidden="false" customHeight="false" outlineLevel="0" collapsed="false">
      <c r="A7" s="10"/>
      <c r="B7" s="11"/>
      <c r="C7" s="11"/>
      <c r="D7" s="12"/>
      <c r="E7" s="11"/>
      <c r="F7" s="11"/>
      <c r="G7" s="11"/>
    </row>
    <row r="8" customFormat="false" ht="15" hidden="false" customHeight="false" outlineLevel="0" collapsed="false">
      <c r="A8" s="10"/>
      <c r="B8" s="11"/>
      <c r="C8" s="11"/>
      <c r="D8" s="12"/>
      <c r="E8" s="11"/>
      <c r="F8" s="11"/>
      <c r="G8" s="11"/>
    </row>
    <row r="9" customFormat="false" ht="15" hidden="false" customHeight="false" outlineLevel="0" collapsed="false">
      <c r="A9" s="10"/>
      <c r="B9" s="11"/>
      <c r="C9" s="11"/>
      <c r="D9" s="12"/>
      <c r="E9" s="11"/>
      <c r="F9" s="11"/>
      <c r="G9" s="11"/>
    </row>
    <row r="10" customFormat="false" ht="15" hidden="false" customHeight="false" outlineLevel="0" collapsed="false">
      <c r="A10" s="10"/>
      <c r="B10" s="11"/>
      <c r="C10" s="11"/>
      <c r="D10" s="12"/>
      <c r="E10" s="11"/>
      <c r="F10" s="11"/>
      <c r="G10" s="11"/>
    </row>
    <row r="11" customFormat="false" ht="15" hidden="false" customHeight="false" outlineLevel="0" collapsed="false">
      <c r="A11" s="10"/>
      <c r="B11" s="11"/>
      <c r="C11" s="11"/>
      <c r="D11" s="12"/>
      <c r="E11" s="11"/>
      <c r="F11" s="11"/>
      <c r="G11" s="11"/>
    </row>
    <row r="12" customFormat="false" ht="15" hidden="false" customHeight="false" outlineLevel="0" collapsed="false">
      <c r="A12" s="10"/>
      <c r="B12" s="11"/>
      <c r="C12" s="11"/>
      <c r="D12" s="12"/>
      <c r="E12" s="11"/>
      <c r="F12" s="11"/>
      <c r="G12" s="11"/>
    </row>
    <row r="13" customFormat="false" ht="15" hidden="false" customHeight="false" outlineLevel="0" collapsed="false">
      <c r="A13" s="10"/>
      <c r="B13" s="11"/>
      <c r="C13" s="11"/>
      <c r="D13" s="12"/>
      <c r="E13" s="11"/>
      <c r="F13" s="11"/>
      <c r="G13" s="11"/>
    </row>
    <row r="14" customFormat="false" ht="15" hidden="false" customHeight="false" outlineLevel="0" collapsed="false">
      <c r="A14" s="10"/>
      <c r="B14" s="11"/>
      <c r="C14" s="11"/>
      <c r="D14" s="12"/>
      <c r="E14" s="11"/>
      <c r="F14" s="11"/>
      <c r="G14" s="11"/>
    </row>
    <row r="15" customFormat="false" ht="15" hidden="false" customHeight="false" outlineLevel="0" collapsed="false">
      <c r="A15" s="10"/>
      <c r="B15" s="11"/>
      <c r="C15" s="11"/>
      <c r="D15" s="12"/>
      <c r="E15" s="11"/>
      <c r="F15" s="11"/>
      <c r="G15" s="11"/>
    </row>
    <row r="16" customFormat="false" ht="15" hidden="false" customHeight="false" outlineLevel="0" collapsed="false">
      <c r="A16" s="10"/>
      <c r="B16" s="11"/>
      <c r="C16" s="11"/>
      <c r="D16" s="12"/>
      <c r="E16" s="11"/>
      <c r="F16" s="11"/>
      <c r="G16" s="11"/>
    </row>
    <row r="17" customFormat="false" ht="15" hidden="false" customHeight="false" outlineLevel="0" collapsed="false">
      <c r="A17" s="10"/>
      <c r="B17" s="11"/>
      <c r="C17" s="11"/>
      <c r="D17" s="12"/>
      <c r="E17" s="11"/>
      <c r="F17" s="11"/>
      <c r="G17" s="11"/>
    </row>
    <row r="18" customFormat="false" ht="15" hidden="false" customHeight="false" outlineLevel="0" collapsed="false">
      <c r="A18" s="10"/>
      <c r="B18" s="11"/>
      <c r="C18" s="11"/>
      <c r="D18" s="12"/>
      <c r="E18" s="11"/>
      <c r="F18" s="11"/>
      <c r="G18" s="11"/>
    </row>
    <row r="19" customFormat="false" ht="15" hidden="false" customHeight="false" outlineLevel="0" collapsed="false">
      <c r="A19" s="10"/>
      <c r="B19" s="11"/>
      <c r="C19" s="11"/>
      <c r="D19" s="12"/>
      <c r="E19" s="11"/>
      <c r="F19" s="11"/>
      <c r="G19" s="11"/>
    </row>
    <row r="20" customFormat="false" ht="15" hidden="false" customHeight="false" outlineLevel="0" collapsed="false">
      <c r="A20" s="10"/>
      <c r="B20" s="11"/>
      <c r="C20" s="11"/>
      <c r="D20" s="12"/>
      <c r="E20" s="11"/>
      <c r="F20" s="11"/>
      <c r="G20" s="11"/>
    </row>
    <row r="21" customFormat="false" ht="15" hidden="false" customHeight="false" outlineLevel="0" collapsed="false">
      <c r="A21" s="10"/>
      <c r="B21" s="11"/>
      <c r="C21" s="11"/>
      <c r="D21" s="12"/>
      <c r="E21" s="11"/>
      <c r="F21" s="11"/>
      <c r="G21" s="11"/>
    </row>
    <row r="22" customFormat="false" ht="15" hidden="false" customHeight="false" outlineLevel="0" collapsed="false">
      <c r="A22" s="10"/>
      <c r="B22" s="11"/>
      <c r="C22" s="11"/>
      <c r="D22" s="12"/>
      <c r="E22" s="11"/>
      <c r="F22" s="11"/>
      <c r="G22" s="11"/>
    </row>
    <row r="23" customFormat="false" ht="15" hidden="false" customHeight="false" outlineLevel="0" collapsed="false">
      <c r="A23" s="10"/>
      <c r="B23" s="11"/>
      <c r="C23" s="11"/>
      <c r="D23" s="12"/>
      <c r="E23" s="11"/>
      <c r="F23" s="11"/>
      <c r="G23" s="11"/>
    </row>
    <row r="24" customFormat="false" ht="15" hidden="false" customHeight="false" outlineLevel="0" collapsed="false">
      <c r="A24" s="10"/>
      <c r="B24" s="11"/>
      <c r="C24" s="11"/>
      <c r="D24" s="12"/>
      <c r="E24" s="11"/>
      <c r="F24" s="11"/>
      <c r="G24" s="11"/>
    </row>
    <row r="25" customFormat="false" ht="15" hidden="false" customHeight="false" outlineLevel="0" collapsed="false">
      <c r="A25" s="10"/>
      <c r="B25" s="11"/>
      <c r="C25" s="11"/>
      <c r="D25" s="12"/>
      <c r="E25" s="11"/>
      <c r="F25" s="11"/>
      <c r="G25" s="11"/>
    </row>
    <row r="26" customFormat="false" ht="15" hidden="false" customHeight="false" outlineLevel="0" collapsed="false">
      <c r="A26" s="10"/>
      <c r="B26" s="11"/>
      <c r="C26" s="11"/>
      <c r="D26" s="12"/>
      <c r="E26" s="11"/>
      <c r="F26" s="11"/>
      <c r="G26" s="11"/>
    </row>
    <row r="27" customFormat="false" ht="15" hidden="false" customHeight="false" outlineLevel="0" collapsed="false">
      <c r="A27" s="10"/>
      <c r="B27" s="11"/>
      <c r="C27" s="11"/>
      <c r="D27" s="12"/>
      <c r="E27" s="11"/>
      <c r="F27" s="11"/>
      <c r="G27" s="11"/>
    </row>
    <row r="28" customFormat="false" ht="15" hidden="false" customHeight="false" outlineLevel="0" collapsed="false">
      <c r="A28" s="10"/>
      <c r="B28" s="11"/>
      <c r="C28" s="11"/>
      <c r="D28" s="12"/>
      <c r="E28" s="11"/>
      <c r="F28" s="11"/>
      <c r="G28" s="11"/>
    </row>
    <row r="29" customFormat="false" ht="15" hidden="false" customHeight="false" outlineLevel="0" collapsed="false">
      <c r="A29" s="10"/>
      <c r="B29" s="11"/>
      <c r="C29" s="11"/>
      <c r="D29" s="12"/>
      <c r="E29" s="11"/>
      <c r="F29" s="11"/>
      <c r="G29" s="11"/>
    </row>
    <row r="30" customFormat="false" ht="15" hidden="false" customHeight="false" outlineLevel="0" collapsed="false">
      <c r="A30" s="10"/>
      <c r="B30" s="11"/>
      <c r="C30" s="11"/>
      <c r="D30" s="12"/>
      <c r="E30" s="11"/>
      <c r="F30" s="11"/>
      <c r="G30" s="11"/>
    </row>
    <row r="31" customFormat="false" ht="15" hidden="false" customHeight="false" outlineLevel="0" collapsed="false">
      <c r="A31" s="10"/>
      <c r="B31" s="11"/>
      <c r="C31" s="11"/>
      <c r="D31" s="12"/>
      <c r="E31" s="11"/>
      <c r="F31" s="11"/>
      <c r="G31" s="11"/>
    </row>
    <row r="32" customFormat="false" ht="15" hidden="false" customHeight="false" outlineLevel="0" collapsed="false">
      <c r="A32" s="10"/>
      <c r="B32" s="11"/>
      <c r="C32" s="11"/>
      <c r="D32" s="12"/>
      <c r="E32" s="11"/>
      <c r="F32" s="11"/>
      <c r="G32" s="11"/>
    </row>
    <row r="33" customFormat="false" ht="15" hidden="false" customHeight="false" outlineLevel="0" collapsed="false">
      <c r="A33" s="10"/>
      <c r="B33" s="11"/>
      <c r="C33" s="11"/>
      <c r="D33" s="12"/>
      <c r="E33" s="11"/>
      <c r="F33" s="11"/>
      <c r="G33" s="11"/>
    </row>
    <row r="34" customFormat="false" ht="15" hidden="false" customHeight="false" outlineLevel="0" collapsed="false">
      <c r="A34" s="10"/>
      <c r="B34" s="11"/>
      <c r="C34" s="11"/>
      <c r="D34" s="12"/>
      <c r="E34" s="11"/>
      <c r="F34" s="11"/>
      <c r="G34" s="11"/>
    </row>
    <row r="35" customFormat="false" ht="15" hidden="false" customHeight="false" outlineLevel="0" collapsed="false">
      <c r="A35" s="10"/>
      <c r="B35" s="11"/>
      <c r="C35" s="11"/>
      <c r="D35" s="12"/>
      <c r="E35" s="11"/>
      <c r="F35" s="11"/>
      <c r="G35" s="11"/>
    </row>
    <row r="36" customFormat="false" ht="15" hidden="false" customHeight="false" outlineLevel="0" collapsed="false">
      <c r="A36" s="10"/>
      <c r="B36" s="11"/>
      <c r="C36" s="11"/>
      <c r="D36" s="12"/>
      <c r="E36" s="11"/>
      <c r="F36" s="11"/>
      <c r="G36" s="11"/>
    </row>
    <row r="37" customFormat="false" ht="15" hidden="false" customHeight="false" outlineLevel="0" collapsed="false">
      <c r="A37" s="10"/>
      <c r="B37" s="11"/>
      <c r="C37" s="11"/>
      <c r="D37" s="12"/>
      <c r="E37" s="11"/>
      <c r="F37" s="11"/>
      <c r="G37" s="11"/>
    </row>
    <row r="38" customFormat="false" ht="15" hidden="false" customHeight="false" outlineLevel="0" collapsed="false">
      <c r="A38" s="10"/>
      <c r="B38" s="11"/>
      <c r="C38" s="11"/>
      <c r="D38" s="12"/>
      <c r="E38" s="11"/>
      <c r="F38" s="11"/>
      <c r="G38" s="11"/>
    </row>
    <row r="39" customFormat="false" ht="15" hidden="false" customHeight="false" outlineLevel="0" collapsed="false">
      <c r="A39" s="10"/>
      <c r="B39" s="11"/>
      <c r="C39" s="11"/>
      <c r="D39" s="12"/>
      <c r="E39" s="11"/>
      <c r="F39" s="11"/>
      <c r="G39" s="11"/>
    </row>
    <row r="40" customFormat="false" ht="15" hidden="false" customHeight="false" outlineLevel="0" collapsed="false">
      <c r="A40" s="10"/>
      <c r="B40" s="11"/>
      <c r="C40" s="11"/>
      <c r="D40" s="12"/>
      <c r="E40" s="11"/>
      <c r="F40" s="11"/>
      <c r="G40" s="11"/>
    </row>
    <row r="41" customFormat="false" ht="15" hidden="false" customHeight="false" outlineLevel="0" collapsed="false">
      <c r="A41" s="10"/>
      <c r="B41" s="11"/>
      <c r="C41" s="11"/>
      <c r="D41" s="12"/>
      <c r="E41" s="11"/>
      <c r="F41" s="11"/>
      <c r="G41" s="11"/>
    </row>
    <row r="42" customFormat="false" ht="15" hidden="false" customHeight="false" outlineLevel="0" collapsed="false">
      <c r="A42" s="10"/>
      <c r="B42" s="11"/>
      <c r="C42" s="11"/>
      <c r="D42" s="12"/>
      <c r="E42" s="11"/>
      <c r="F42" s="11"/>
      <c r="G42" s="11"/>
    </row>
    <row r="43" customFormat="false" ht="15" hidden="false" customHeight="false" outlineLevel="0" collapsed="false">
      <c r="A43" s="10"/>
      <c r="B43" s="11"/>
      <c r="C43" s="11"/>
      <c r="D43" s="12"/>
      <c r="E43" s="11"/>
      <c r="F43" s="11"/>
      <c r="G43" s="11"/>
    </row>
    <row r="44" customFormat="false" ht="15" hidden="false" customHeight="false" outlineLevel="0" collapsed="false">
      <c r="A44" s="10"/>
      <c r="B44" s="11"/>
      <c r="C44" s="11"/>
      <c r="D44" s="12"/>
      <c r="E44" s="11"/>
      <c r="F44" s="11"/>
      <c r="G44" s="11"/>
    </row>
    <row r="45" customFormat="false" ht="15" hidden="false" customHeight="false" outlineLevel="0" collapsed="false">
      <c r="A45" s="10"/>
      <c r="B45" s="11"/>
      <c r="C45" s="11"/>
      <c r="D45" s="12"/>
      <c r="E45" s="11"/>
      <c r="F45" s="11"/>
      <c r="G45" s="11"/>
    </row>
    <row r="46" customFormat="false" ht="15" hidden="false" customHeight="false" outlineLevel="0" collapsed="false">
      <c r="A46" s="10"/>
      <c r="B46" s="11"/>
      <c r="C46" s="11"/>
      <c r="D46" s="12"/>
      <c r="E46" s="11"/>
      <c r="F46" s="11"/>
      <c r="G46" s="11"/>
    </row>
    <row r="47" customFormat="false" ht="15" hidden="false" customHeight="false" outlineLevel="0" collapsed="false">
      <c r="A47" s="10"/>
      <c r="B47" s="11"/>
      <c r="C47" s="11"/>
      <c r="D47" s="12"/>
      <c r="E47" s="11"/>
      <c r="F47" s="11"/>
      <c r="G47" s="11"/>
    </row>
    <row r="48" customFormat="false" ht="15" hidden="false" customHeight="false" outlineLevel="0" collapsed="false">
      <c r="A48" s="10"/>
      <c r="B48" s="11"/>
      <c r="C48" s="11"/>
      <c r="D48" s="12"/>
      <c r="E48" s="11"/>
      <c r="F48" s="11"/>
      <c r="G48" s="11"/>
    </row>
    <row r="49" customFormat="false" ht="15" hidden="false" customHeight="false" outlineLevel="0" collapsed="false">
      <c r="A49" s="10"/>
      <c r="B49" s="11"/>
      <c r="C49" s="11"/>
      <c r="D49" s="12"/>
      <c r="E49" s="11"/>
      <c r="F49" s="11"/>
      <c r="G49" s="11"/>
    </row>
    <row r="50" customFormat="false" ht="15" hidden="false" customHeight="false" outlineLevel="0" collapsed="false">
      <c r="A50" s="10"/>
      <c r="B50" s="11"/>
      <c r="C50" s="11"/>
      <c r="D50" s="12"/>
      <c r="E50" s="11"/>
      <c r="F50" s="11"/>
      <c r="G50" s="11"/>
    </row>
    <row r="51" customFormat="false" ht="15" hidden="false" customHeight="false" outlineLevel="0" collapsed="false">
      <c r="A51" s="10"/>
      <c r="B51" s="11"/>
      <c r="C51" s="11"/>
      <c r="D51" s="12"/>
      <c r="E51" s="11"/>
      <c r="F51" s="11"/>
      <c r="G51" s="11"/>
    </row>
    <row r="52" customFormat="false" ht="15" hidden="false" customHeight="false" outlineLevel="0" collapsed="false">
      <c r="A52" s="10"/>
      <c r="B52" s="11"/>
      <c r="C52" s="11"/>
      <c r="D52" s="12"/>
      <c r="E52" s="11"/>
      <c r="F52" s="11"/>
      <c r="G52" s="11"/>
    </row>
    <row r="53" customFormat="false" ht="15" hidden="false" customHeight="false" outlineLevel="0" collapsed="false">
      <c r="A53" s="10"/>
      <c r="B53" s="11"/>
      <c r="C53" s="11"/>
      <c r="D53" s="12"/>
      <c r="E53" s="11"/>
      <c r="F53" s="11"/>
      <c r="G53" s="11"/>
    </row>
    <row r="54" customFormat="false" ht="15" hidden="false" customHeight="false" outlineLevel="0" collapsed="false">
      <c r="A54" s="10"/>
      <c r="B54" s="11"/>
      <c r="C54" s="11"/>
      <c r="D54" s="12"/>
      <c r="E54" s="11"/>
      <c r="F54" s="11"/>
      <c r="G54" s="11"/>
    </row>
    <row r="55" customFormat="false" ht="15" hidden="false" customHeight="false" outlineLevel="0" collapsed="false">
      <c r="A55" s="10"/>
      <c r="B55" s="11"/>
      <c r="C55" s="11"/>
      <c r="D55" s="12"/>
      <c r="E55" s="11"/>
      <c r="F55" s="11"/>
      <c r="G55" s="11"/>
    </row>
    <row r="56" customFormat="false" ht="15" hidden="false" customHeight="false" outlineLevel="0" collapsed="false">
      <c r="A56" s="10"/>
      <c r="B56" s="11"/>
      <c r="C56" s="11"/>
      <c r="D56" s="12"/>
      <c r="E56" s="11"/>
      <c r="F56" s="11"/>
      <c r="G56" s="11"/>
    </row>
    <row r="57" customFormat="false" ht="15" hidden="false" customHeight="false" outlineLevel="0" collapsed="false">
      <c r="A57" s="10"/>
      <c r="B57" s="11"/>
      <c r="C57" s="11"/>
      <c r="D57" s="12"/>
      <c r="E57" s="11"/>
      <c r="F57" s="11"/>
      <c r="G57" s="11"/>
    </row>
    <row r="58" customFormat="false" ht="15" hidden="false" customHeight="false" outlineLevel="0" collapsed="false">
      <c r="A58" s="10"/>
      <c r="B58" s="11"/>
      <c r="C58" s="11"/>
      <c r="D58" s="12"/>
      <c r="E58" s="11"/>
      <c r="F58" s="11"/>
      <c r="G58" s="11"/>
    </row>
    <row r="59" customFormat="false" ht="15" hidden="false" customHeight="false" outlineLevel="0" collapsed="false">
      <c r="A59" s="10"/>
      <c r="B59" s="11"/>
      <c r="C59" s="11"/>
      <c r="D59" s="12"/>
      <c r="E59" s="11"/>
      <c r="F59" s="11"/>
      <c r="G59" s="11"/>
    </row>
    <row r="60" customFormat="false" ht="15" hidden="false" customHeight="false" outlineLevel="0" collapsed="false">
      <c r="A60" s="10"/>
      <c r="B60" s="11"/>
      <c r="C60" s="11"/>
      <c r="D60" s="12"/>
      <c r="E60" s="11"/>
      <c r="F60" s="11"/>
      <c r="G60" s="11"/>
    </row>
    <row r="61" customFormat="false" ht="15" hidden="false" customHeight="false" outlineLevel="0" collapsed="false">
      <c r="A61" s="10"/>
      <c r="B61" s="11"/>
      <c r="C61" s="11"/>
      <c r="D61" s="12"/>
      <c r="E61" s="11"/>
      <c r="F61" s="11"/>
      <c r="G61" s="11"/>
    </row>
    <row r="62" customFormat="false" ht="15" hidden="false" customHeight="false" outlineLevel="0" collapsed="false">
      <c r="A62" s="10"/>
      <c r="B62" s="11"/>
      <c r="C62" s="11"/>
      <c r="D62" s="12"/>
      <c r="E62" s="11"/>
      <c r="F62" s="11"/>
      <c r="G62" s="11"/>
    </row>
    <row r="63" customFormat="false" ht="15" hidden="false" customHeight="false" outlineLevel="0" collapsed="false">
      <c r="A63" s="10"/>
      <c r="B63" s="11"/>
      <c r="C63" s="11"/>
      <c r="D63" s="12"/>
      <c r="E63" s="11"/>
      <c r="F63" s="11"/>
      <c r="G63" s="11"/>
    </row>
    <row r="64" customFormat="false" ht="15" hidden="false" customHeight="false" outlineLevel="0" collapsed="false">
      <c r="A64" s="10"/>
      <c r="B64" s="11"/>
      <c r="C64" s="11"/>
      <c r="D64" s="12"/>
      <c r="E64" s="11"/>
      <c r="F64" s="11"/>
      <c r="G64" s="11"/>
    </row>
    <row r="65" customFormat="false" ht="15" hidden="false" customHeight="false" outlineLevel="0" collapsed="false">
      <c r="A65" s="10"/>
      <c r="B65" s="11"/>
      <c r="C65" s="11"/>
      <c r="D65" s="12"/>
      <c r="E65" s="11"/>
      <c r="F65" s="11"/>
      <c r="G65" s="11"/>
    </row>
    <row r="66" customFormat="false" ht="15" hidden="false" customHeight="false" outlineLevel="0" collapsed="false">
      <c r="A66" s="10"/>
      <c r="B66" s="11"/>
      <c r="C66" s="11"/>
      <c r="D66" s="12"/>
      <c r="E66" s="11"/>
      <c r="F66" s="11"/>
      <c r="G66" s="11"/>
    </row>
    <row r="67" customFormat="false" ht="15" hidden="false" customHeight="false" outlineLevel="0" collapsed="false">
      <c r="A67" s="10"/>
      <c r="B67" s="11"/>
      <c r="C67" s="11"/>
      <c r="D67" s="12"/>
      <c r="E67" s="11"/>
      <c r="F67" s="11"/>
      <c r="G67" s="11"/>
    </row>
    <row r="68" customFormat="false" ht="15" hidden="false" customHeight="false" outlineLevel="0" collapsed="false">
      <c r="A68" s="10"/>
      <c r="B68" s="11"/>
      <c r="C68" s="11"/>
      <c r="D68" s="12"/>
      <c r="E68" s="11"/>
      <c r="F68" s="11"/>
      <c r="G68" s="11"/>
    </row>
    <row r="69" customFormat="false" ht="15" hidden="false" customHeight="false" outlineLevel="0" collapsed="false">
      <c r="A69" s="10"/>
      <c r="B69" s="11"/>
      <c r="C69" s="11"/>
      <c r="D69" s="12"/>
      <c r="E69" s="11"/>
      <c r="F69" s="11"/>
      <c r="G69" s="11"/>
    </row>
    <row r="70" customFormat="false" ht="15" hidden="false" customHeight="false" outlineLevel="0" collapsed="false">
      <c r="A70" s="10"/>
      <c r="B70" s="11"/>
      <c r="C70" s="11"/>
      <c r="D70" s="12"/>
      <c r="E70" s="11"/>
      <c r="F70" s="11"/>
      <c r="G70" s="11"/>
    </row>
    <row r="71" customFormat="false" ht="15" hidden="false" customHeight="false" outlineLevel="0" collapsed="false">
      <c r="A71" s="10"/>
      <c r="B71" s="11"/>
      <c r="C71" s="11"/>
      <c r="D71" s="12"/>
      <c r="E71" s="11"/>
      <c r="F71" s="11"/>
      <c r="G71" s="11"/>
    </row>
    <row r="72" customFormat="false" ht="15" hidden="false" customHeight="false" outlineLevel="0" collapsed="false">
      <c r="A72" s="10"/>
      <c r="B72" s="11"/>
      <c r="C72" s="11"/>
      <c r="D72" s="12"/>
      <c r="E72" s="11"/>
      <c r="F72" s="11"/>
      <c r="G72" s="11"/>
    </row>
    <row r="73" customFormat="false" ht="15" hidden="false" customHeight="false" outlineLevel="0" collapsed="false">
      <c r="A73" s="10"/>
      <c r="B73" s="11"/>
      <c r="C73" s="11"/>
      <c r="D73" s="12"/>
      <c r="E73" s="11"/>
      <c r="F73" s="11"/>
      <c r="G73" s="11"/>
    </row>
    <row r="74" customFormat="false" ht="15" hidden="false" customHeight="false" outlineLevel="0" collapsed="false">
      <c r="A74" s="10"/>
      <c r="B74" s="11"/>
      <c r="C74" s="11"/>
      <c r="D74" s="12"/>
      <c r="E74" s="11"/>
      <c r="F74" s="11"/>
      <c r="G74" s="11"/>
    </row>
    <row r="75" customFormat="false" ht="15" hidden="false" customHeight="false" outlineLevel="0" collapsed="false">
      <c r="A75" s="10"/>
      <c r="B75" s="11"/>
      <c r="C75" s="11"/>
      <c r="D75" s="12"/>
      <c r="E75" s="11"/>
      <c r="F75" s="11"/>
      <c r="G75" s="11"/>
    </row>
    <row r="76" customFormat="false" ht="15" hidden="false" customHeight="false" outlineLevel="0" collapsed="false">
      <c r="A76" s="10"/>
      <c r="B76" s="11"/>
      <c r="C76" s="11"/>
      <c r="D76" s="12"/>
      <c r="E76" s="11"/>
      <c r="F76" s="11"/>
      <c r="G76" s="11"/>
    </row>
    <row r="77" customFormat="false" ht="15" hidden="false" customHeight="false" outlineLevel="0" collapsed="false">
      <c r="A77" s="10"/>
      <c r="B77" s="11"/>
      <c r="C77" s="11"/>
      <c r="D77" s="12"/>
      <c r="E77" s="11"/>
      <c r="F77" s="11"/>
      <c r="G77" s="11"/>
    </row>
    <row r="78" customFormat="false" ht="15" hidden="false" customHeight="false" outlineLevel="0" collapsed="false">
      <c r="A78" s="10"/>
      <c r="B78" s="11"/>
      <c r="C78" s="11"/>
      <c r="D78" s="12"/>
      <c r="E78" s="11"/>
      <c r="F78" s="11"/>
      <c r="G78" s="11"/>
    </row>
    <row r="79" customFormat="false" ht="15" hidden="false" customHeight="false" outlineLevel="0" collapsed="false">
      <c r="A79" s="10"/>
      <c r="B79" s="11"/>
      <c r="C79" s="11"/>
      <c r="D79" s="12"/>
      <c r="E79" s="11"/>
      <c r="F79" s="11"/>
      <c r="G79" s="11"/>
    </row>
    <row r="80" customFormat="false" ht="15" hidden="false" customHeight="false" outlineLevel="0" collapsed="false">
      <c r="A80" s="10"/>
      <c r="B80" s="11"/>
      <c r="C80" s="11"/>
      <c r="D80" s="12"/>
      <c r="E80" s="11"/>
      <c r="F80" s="11"/>
      <c r="G80" s="11"/>
    </row>
    <row r="81" customFormat="false" ht="15" hidden="false" customHeight="false" outlineLevel="0" collapsed="false">
      <c r="A81" s="10"/>
      <c r="B81" s="11"/>
      <c r="C81" s="11"/>
      <c r="D81" s="12"/>
      <c r="E81" s="11"/>
      <c r="F81" s="11"/>
      <c r="G81" s="11"/>
    </row>
    <row r="82" customFormat="false" ht="15" hidden="false" customHeight="false" outlineLevel="0" collapsed="false">
      <c r="A82" s="10"/>
      <c r="B82" s="11"/>
      <c r="C82" s="11"/>
      <c r="D82" s="12"/>
      <c r="E82" s="11"/>
      <c r="F82" s="11"/>
      <c r="G82" s="11"/>
    </row>
    <row r="83" customFormat="false" ht="15" hidden="false" customHeight="false" outlineLevel="0" collapsed="false">
      <c r="A83" s="10"/>
      <c r="B83" s="11"/>
      <c r="C83" s="11"/>
      <c r="D83" s="12"/>
      <c r="E83" s="11"/>
      <c r="F83" s="11"/>
      <c r="G83" s="11"/>
    </row>
    <row r="84" customFormat="false" ht="15" hidden="false" customHeight="false" outlineLevel="0" collapsed="false">
      <c r="A84" s="10"/>
      <c r="B84" s="11"/>
      <c r="C84" s="11"/>
      <c r="D84" s="12"/>
      <c r="E84" s="11"/>
      <c r="F84" s="11"/>
      <c r="G84" s="11"/>
    </row>
    <row r="85" customFormat="false" ht="15" hidden="false" customHeight="false" outlineLevel="0" collapsed="false">
      <c r="A85" s="10"/>
      <c r="B85" s="11"/>
      <c r="C85" s="11"/>
      <c r="D85" s="12"/>
      <c r="E85" s="11"/>
      <c r="F85" s="11"/>
      <c r="G85" s="11"/>
    </row>
    <row r="86" customFormat="false" ht="15" hidden="false" customHeight="false" outlineLevel="0" collapsed="false">
      <c r="A86" s="10"/>
      <c r="B86" s="11"/>
      <c r="C86" s="11"/>
      <c r="D86" s="12"/>
      <c r="E86" s="11"/>
      <c r="F86" s="11"/>
      <c r="G86" s="11"/>
    </row>
    <row r="87" customFormat="false" ht="15" hidden="false" customHeight="false" outlineLevel="0" collapsed="false">
      <c r="A87" s="10"/>
      <c r="B87" s="11"/>
      <c r="C87" s="11"/>
      <c r="D87" s="12"/>
      <c r="E87" s="11"/>
      <c r="F87" s="11"/>
      <c r="G87" s="11"/>
    </row>
    <row r="88" customFormat="false" ht="15" hidden="false" customHeight="false" outlineLevel="0" collapsed="false">
      <c r="A88" s="10"/>
      <c r="B88" s="11"/>
      <c r="C88" s="11"/>
      <c r="D88" s="12"/>
      <c r="E88" s="11"/>
      <c r="F88" s="11"/>
      <c r="G88" s="11"/>
    </row>
    <row r="89" customFormat="false" ht="15" hidden="false" customHeight="false" outlineLevel="0" collapsed="false">
      <c r="A89" s="10"/>
      <c r="B89" s="11"/>
      <c r="C89" s="11"/>
      <c r="D89" s="12"/>
      <c r="E89" s="11"/>
      <c r="F89" s="11"/>
      <c r="G89" s="11"/>
    </row>
    <row r="90" customFormat="false" ht="15" hidden="false" customHeight="false" outlineLevel="0" collapsed="false">
      <c r="A90" s="10"/>
      <c r="B90" s="11"/>
      <c r="C90" s="11"/>
      <c r="D90" s="12"/>
      <c r="E90" s="11"/>
      <c r="F90" s="11"/>
      <c r="G90" s="11"/>
    </row>
    <row r="91" customFormat="false" ht="15" hidden="false" customHeight="false" outlineLevel="0" collapsed="false">
      <c r="A91" s="10"/>
      <c r="B91" s="11"/>
      <c r="C91" s="11"/>
      <c r="D91" s="12"/>
      <c r="E91" s="11"/>
      <c r="F91" s="11"/>
      <c r="G91" s="11"/>
    </row>
    <row r="92" customFormat="false" ht="15" hidden="false" customHeight="false" outlineLevel="0" collapsed="false">
      <c r="A92" s="10"/>
      <c r="B92" s="11"/>
      <c r="C92" s="11"/>
      <c r="D92" s="12"/>
      <c r="E92" s="11"/>
      <c r="F92" s="11"/>
      <c r="G92" s="11"/>
    </row>
    <row r="93" customFormat="false" ht="15" hidden="false" customHeight="false" outlineLevel="0" collapsed="false">
      <c r="A93" s="10"/>
      <c r="B93" s="11"/>
      <c r="C93" s="11"/>
      <c r="D93" s="12"/>
      <c r="E93" s="11"/>
      <c r="F93" s="11"/>
      <c r="G93" s="11"/>
    </row>
    <row r="94" customFormat="false" ht="15" hidden="false" customHeight="false" outlineLevel="0" collapsed="false">
      <c r="A94" s="10"/>
      <c r="B94" s="11"/>
      <c r="C94" s="11"/>
      <c r="D94" s="12"/>
      <c r="E94" s="11"/>
      <c r="F94" s="11"/>
      <c r="G94" s="11"/>
    </row>
    <row r="95" customFormat="false" ht="15" hidden="false" customHeight="false" outlineLevel="0" collapsed="false">
      <c r="A95" s="10"/>
      <c r="B95" s="11"/>
      <c r="C95" s="11"/>
      <c r="D95" s="12"/>
      <c r="E95" s="11"/>
      <c r="F95" s="11"/>
      <c r="G95" s="11"/>
    </row>
    <row r="96" customFormat="false" ht="15" hidden="false" customHeight="false" outlineLevel="0" collapsed="false">
      <c r="A96" s="10"/>
      <c r="B96" s="11"/>
      <c r="C96" s="11"/>
      <c r="D96" s="12"/>
      <c r="E96" s="11"/>
      <c r="F96" s="11"/>
      <c r="G96" s="11"/>
    </row>
    <row r="97" customFormat="false" ht="15" hidden="false" customHeight="false" outlineLevel="0" collapsed="false">
      <c r="A97" s="10"/>
      <c r="B97" s="11"/>
      <c r="C97" s="11"/>
      <c r="D97" s="12"/>
      <c r="E97" s="11"/>
      <c r="F97" s="11"/>
      <c r="G97" s="11"/>
    </row>
    <row r="98" customFormat="false" ht="15" hidden="false" customHeight="false" outlineLevel="0" collapsed="false">
      <c r="A98" s="10"/>
      <c r="B98" s="11"/>
      <c r="C98" s="11"/>
      <c r="D98" s="12"/>
      <c r="E98" s="11"/>
      <c r="F98" s="11"/>
      <c r="G98" s="11"/>
    </row>
    <row r="99" customFormat="false" ht="15" hidden="false" customHeight="false" outlineLevel="0" collapsed="false">
      <c r="A99" s="10"/>
      <c r="B99" s="11"/>
      <c r="C99" s="11"/>
      <c r="D99" s="12"/>
      <c r="E99" s="11"/>
      <c r="F99" s="11"/>
      <c r="G99" s="11"/>
    </row>
    <row r="100" customFormat="false" ht="15" hidden="false" customHeight="false" outlineLevel="0" collapsed="false">
      <c r="A100" s="10"/>
      <c r="B100" s="11"/>
      <c r="C100" s="11"/>
      <c r="D100" s="12"/>
      <c r="E100" s="11"/>
      <c r="F100" s="11"/>
      <c r="G100" s="11"/>
    </row>
    <row r="101" customFormat="false" ht="15" hidden="false" customHeight="false" outlineLevel="0" collapsed="false">
      <c r="A101" s="10"/>
      <c r="B101" s="11"/>
      <c r="C101" s="11"/>
      <c r="D101" s="12"/>
      <c r="E101" s="11"/>
      <c r="F101" s="11"/>
      <c r="G101" s="11"/>
    </row>
    <row r="102" customFormat="false" ht="15" hidden="false" customHeight="false" outlineLevel="0" collapsed="false">
      <c r="A102" s="10"/>
      <c r="B102" s="11"/>
      <c r="C102" s="11"/>
      <c r="D102" s="12"/>
      <c r="E102" s="11"/>
      <c r="F102" s="11"/>
      <c r="G102" s="11"/>
    </row>
    <row r="103" customFormat="false" ht="15" hidden="false" customHeight="false" outlineLevel="0" collapsed="false">
      <c r="A103" s="10"/>
      <c r="B103" s="11"/>
      <c r="C103" s="11"/>
      <c r="D103" s="12"/>
      <c r="E103" s="11"/>
      <c r="F103" s="11"/>
      <c r="G103" s="11"/>
    </row>
    <row r="104" customFormat="false" ht="15" hidden="false" customHeight="false" outlineLevel="0" collapsed="false">
      <c r="A104" s="10"/>
      <c r="B104" s="11"/>
      <c r="C104" s="11"/>
      <c r="D104" s="12"/>
      <c r="E104" s="11"/>
      <c r="F104" s="11"/>
      <c r="G104" s="11"/>
    </row>
    <row r="105" customFormat="false" ht="15" hidden="false" customHeight="false" outlineLevel="0" collapsed="false">
      <c r="A105" s="10"/>
      <c r="B105" s="11"/>
      <c r="C105" s="11"/>
      <c r="D105" s="12"/>
      <c r="E105" s="11"/>
      <c r="F105" s="11"/>
      <c r="G105" s="11"/>
    </row>
    <row r="106" customFormat="false" ht="15" hidden="false" customHeight="false" outlineLevel="0" collapsed="false">
      <c r="A106" s="14" t="s">
        <v>34</v>
      </c>
      <c r="D106" s="19" t="n">
        <f aca="false">SUM(D6:D105)</f>
        <v>0</v>
      </c>
    </row>
    <row r="108" customFormat="false" ht="15" hidden="false" customHeight="false" outlineLevel="0" collapsed="false">
      <c r="A108" s="20" t="s">
        <v>35</v>
      </c>
    </row>
    <row r="109" customFormat="false" ht="15" hidden="false" customHeight="false" outlineLevel="0" collapsed="false">
      <c r="A109" s="21" t="s">
        <v>36</v>
      </c>
      <c r="B109" s="22" t="n">
        <f aca="false">SUMIF(C6:C105,A109,D6:D105)</f>
        <v>0</v>
      </c>
    </row>
    <row r="110" customFormat="false" ht="15" hidden="false" customHeight="false" outlineLevel="0" collapsed="false">
      <c r="A110" s="21" t="s">
        <v>17</v>
      </c>
      <c r="B110" s="22" t="n">
        <f aca="false">SUMIF(C6:C105,A110,D6:D105)</f>
        <v>0</v>
      </c>
    </row>
    <row r="111" customFormat="false" ht="15" hidden="false" customHeight="false" outlineLevel="0" collapsed="false">
      <c r="A111" s="21" t="s">
        <v>37</v>
      </c>
      <c r="B111" s="22" t="n">
        <f aca="false">SUMIF(C6:C105,A111,D6:D105)</f>
        <v>0</v>
      </c>
    </row>
    <row r="112" customFormat="false" ht="15" hidden="false" customHeight="false" outlineLevel="0" collapsed="false">
      <c r="A112" s="21" t="s">
        <v>38</v>
      </c>
      <c r="B112" s="22" t="n">
        <f aca="false">SUMIF(C6:C105,A112,D6:D105)</f>
        <v>0</v>
      </c>
    </row>
    <row r="113" customFormat="false" ht="15" hidden="false" customHeight="false" outlineLevel="0" collapsed="false">
      <c r="A113" s="21" t="s">
        <v>39</v>
      </c>
      <c r="B113" s="22" t="n">
        <f aca="false">SUMIF(C6:C105,A113,D6:D105)</f>
        <v>0</v>
      </c>
    </row>
    <row r="114" customFormat="false" ht="15" hidden="false" customHeight="false" outlineLevel="0" collapsed="false">
      <c r="A114" s="21" t="s">
        <v>40</v>
      </c>
      <c r="B114" s="22" t="n">
        <f aca="false">SUMIF(C6:C105,A114,D6:D105)</f>
        <v>0</v>
      </c>
    </row>
    <row r="115" customFormat="false" ht="15" hidden="false" customHeight="false" outlineLevel="0" collapsed="false">
      <c r="A115" s="21" t="s">
        <v>41</v>
      </c>
      <c r="B115" s="22" t="n">
        <f aca="false">SUMIF(C6:C105,A115,D6:D105)</f>
        <v>0</v>
      </c>
    </row>
    <row r="116" customFormat="false" ht="15" hidden="false" customHeight="false" outlineLevel="0" collapsed="false">
      <c r="A116" s="21" t="s">
        <v>42</v>
      </c>
      <c r="B116" s="22" t="n">
        <f aca="false">SUMIF(C6:C105,A116,D6:D105)</f>
        <v>0</v>
      </c>
    </row>
    <row r="117" customFormat="false" ht="15" hidden="false" customHeight="false" outlineLevel="0" collapsed="false">
      <c r="A117" s="21" t="s">
        <v>43</v>
      </c>
      <c r="B117" s="22" t="n">
        <f aca="false">SUMIF(C6:C105,A117,D6:D105)</f>
        <v>0</v>
      </c>
    </row>
    <row r="118" customFormat="false" ht="15" hidden="false" customHeight="false" outlineLevel="0" collapsed="false">
      <c r="A118" s="21" t="s">
        <v>44</v>
      </c>
      <c r="B118" s="22" t="n">
        <f aca="false">SUMIF(C6:C105,A118,D6:D105)</f>
        <v>0</v>
      </c>
    </row>
    <row r="119" customFormat="false" ht="15" hidden="false" customHeight="false" outlineLevel="0" collapsed="false">
      <c r="A119" s="21" t="s">
        <v>45</v>
      </c>
      <c r="B119" s="22" t="n">
        <f aca="false">SUMIF(C6:C105,A119,D6:D105)</f>
        <v>0</v>
      </c>
    </row>
    <row r="120" customFormat="false" ht="15" hidden="false" customHeight="false" outlineLevel="0" collapsed="false">
      <c r="A120" s="21" t="s">
        <v>46</v>
      </c>
      <c r="B120" s="22" t="n">
        <f aca="false">SUMIF(C6:C105,A120,D6:D105)</f>
        <v>0</v>
      </c>
    </row>
  </sheetData>
  <mergeCells count="3">
    <mergeCell ref="A1:G1"/>
    <mergeCell ref="A2:G2"/>
    <mergeCell ref="A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6"/>
  </cols>
  <sheetData>
    <row r="1" customFormat="false" ht="19.7" hidden="false" customHeight="false" outlineLevel="0" collapsed="false">
      <c r="A1" s="16" t="s">
        <v>47</v>
      </c>
      <c r="B1" s="16"/>
      <c r="C1" s="16"/>
      <c r="D1" s="16"/>
      <c r="E1" s="16"/>
      <c r="F1" s="16"/>
      <c r="G1" s="16"/>
      <c r="H1" s="16"/>
    </row>
    <row r="2" customFormat="false" ht="15" hidden="false" customHeight="false" outlineLevel="0" collapsed="false">
      <c r="A2" s="2" t="s">
        <v>48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9"/>
      <c r="B4" s="9" t="s">
        <v>49</v>
      </c>
      <c r="C4" s="9" t="s">
        <v>50</v>
      </c>
      <c r="D4" s="9" t="s">
        <v>51</v>
      </c>
      <c r="E4" s="9" t="s">
        <v>52</v>
      </c>
      <c r="F4" s="9" t="s">
        <v>53</v>
      </c>
    </row>
    <row r="5" customFormat="false" ht="15" hidden="false" customHeight="false" outlineLevel="0" collapsed="false">
      <c r="A5" s="21" t="s">
        <v>54</v>
      </c>
      <c r="B5" s="12"/>
      <c r="C5" s="12"/>
      <c r="D5" s="12"/>
      <c r="E5" s="12"/>
      <c r="F5" s="23" t="n">
        <f aca="false">SUM(B5:E5)</f>
        <v>0</v>
      </c>
    </row>
    <row r="6" customFormat="false" ht="15" hidden="false" customHeight="false" outlineLevel="0" collapsed="false">
      <c r="A6" s="21" t="s">
        <v>55</v>
      </c>
      <c r="B6" s="12"/>
      <c r="C6" s="12"/>
      <c r="D6" s="12"/>
      <c r="E6" s="12"/>
      <c r="F6" s="23" t="n">
        <f aca="false">SUM(B6:E6)</f>
        <v>0</v>
      </c>
    </row>
    <row r="7" customFormat="false" ht="15" hidden="false" customHeight="false" outlineLevel="0" collapsed="false">
      <c r="A7" s="21" t="s">
        <v>17</v>
      </c>
      <c r="B7" s="12"/>
      <c r="C7" s="12"/>
      <c r="D7" s="12"/>
      <c r="E7" s="12"/>
      <c r="F7" s="23" t="n">
        <f aca="false">SUM(B7:E7)</f>
        <v>0</v>
      </c>
    </row>
    <row r="8" customFormat="false" ht="15" hidden="false" customHeight="false" outlineLevel="0" collapsed="false">
      <c r="A8" s="21" t="s">
        <v>56</v>
      </c>
      <c r="B8" s="12"/>
      <c r="C8" s="12"/>
      <c r="D8" s="12"/>
      <c r="E8" s="12"/>
      <c r="F8" s="23" t="n">
        <f aca="false">SUM(B8:E8)</f>
        <v>0</v>
      </c>
    </row>
    <row r="9" customFormat="false" ht="15" hidden="false" customHeight="false" outlineLevel="0" collapsed="false">
      <c r="A9" s="5" t="s">
        <v>57</v>
      </c>
      <c r="B9" s="23" t="n">
        <f aca="false">B6+B7+B8</f>
        <v>0</v>
      </c>
      <c r="C9" s="23" t="n">
        <f aca="false">C6+C7+C8</f>
        <v>0</v>
      </c>
      <c r="D9" s="23" t="n">
        <f aca="false">D6+D7+D8</f>
        <v>0</v>
      </c>
      <c r="E9" s="23" t="n">
        <f aca="false">E6+E7+E8</f>
        <v>0</v>
      </c>
      <c r="F9" s="23" t="n">
        <f aca="false">SUM(B9:E9)</f>
        <v>0</v>
      </c>
    </row>
    <row r="10" customFormat="false" ht="15" hidden="false" customHeight="false" outlineLevel="0" collapsed="false">
      <c r="A10" s="5"/>
      <c r="B10" s="13"/>
      <c r="C10" s="13"/>
      <c r="D10" s="13"/>
      <c r="E10" s="13"/>
      <c r="F10" s="13"/>
    </row>
    <row r="11" customFormat="false" ht="15" hidden="false" customHeight="false" outlineLevel="0" collapsed="false">
      <c r="A11" s="5" t="s">
        <v>58</v>
      </c>
      <c r="B11" s="24" t="n">
        <f aca="false">B5-B9</f>
        <v>0</v>
      </c>
      <c r="C11" s="24" t="n">
        <f aca="false">C5-C9</f>
        <v>0</v>
      </c>
      <c r="D11" s="24" t="n">
        <f aca="false">D5-D9</f>
        <v>0</v>
      </c>
      <c r="E11" s="24" t="n">
        <f aca="false">E5-E9</f>
        <v>0</v>
      </c>
      <c r="F11" s="23" t="n">
        <f aca="false">SUM(B11:E11)</f>
        <v>0</v>
      </c>
    </row>
    <row r="12" customFormat="false" ht="15" hidden="false" customHeight="false" outlineLevel="0" collapsed="false">
      <c r="A12" s="5"/>
      <c r="B12" s="13"/>
      <c r="C12" s="13"/>
      <c r="D12" s="13"/>
      <c r="E12" s="13"/>
      <c r="F12" s="13"/>
    </row>
    <row r="13" customFormat="false" ht="15" hidden="false" customHeight="false" outlineLevel="0" collapsed="false">
      <c r="A13" s="5" t="s">
        <v>59</v>
      </c>
      <c r="B13" s="13"/>
      <c r="C13" s="13"/>
      <c r="D13" s="13"/>
      <c r="E13" s="13"/>
      <c r="F13" s="13"/>
    </row>
    <row r="14" customFormat="false" ht="15" hidden="false" customHeight="false" outlineLevel="0" collapsed="false">
      <c r="A14" s="5" t="s">
        <v>60</v>
      </c>
      <c r="B14" s="13"/>
      <c r="C14" s="13"/>
      <c r="D14" s="13"/>
      <c r="E14" s="13"/>
      <c r="F14" s="23" t="n">
        <f aca="false">SUM(B14:E14)</f>
        <v>0</v>
      </c>
    </row>
    <row r="15" customFormat="false" ht="15" hidden="false" customHeight="false" outlineLevel="0" collapsed="false">
      <c r="A15" s="5" t="s">
        <v>61</v>
      </c>
      <c r="B15" s="13" t="n">
        <f aca="false">IF(B11&gt;0,B11*'Sales Log'!$B$6,0)</f>
        <v>0</v>
      </c>
      <c r="C15" s="13" t="n">
        <f aca="false">IF(C11&gt;0,C11*'Sales Log'!$B$6,0)</f>
        <v>0</v>
      </c>
      <c r="D15" s="13" t="n">
        <f aca="false">IF(D11&gt;0,D11*'Sales Log'!$B$6,0)</f>
        <v>0</v>
      </c>
      <c r="E15" s="13" t="n">
        <f aca="false">IF(E11&gt;0,E11*'Sales Log'!$B$6,0)</f>
        <v>0</v>
      </c>
      <c r="F15" s="23" t="n">
        <f aca="false">SUM(B15:E15)</f>
        <v>0</v>
      </c>
    </row>
    <row r="16" customFormat="false" ht="15" hidden="false" customHeight="false" outlineLevel="0" collapsed="false">
      <c r="A16" s="5" t="s">
        <v>62</v>
      </c>
      <c r="B16" s="13" t="n">
        <f aca="false">IF(B11&gt;0,B11*'Sales Log'!$B$7,0)</f>
        <v>0</v>
      </c>
      <c r="C16" s="13" t="n">
        <f aca="false">IF(C11&gt;0,C11*'Sales Log'!$B$7,0)</f>
        <v>0</v>
      </c>
      <c r="D16" s="13" t="n">
        <f aca="false">IF(D11&gt;0,D11*'Sales Log'!$B$7,0)</f>
        <v>0</v>
      </c>
      <c r="E16" s="13" t="n">
        <f aca="false">IF(E11&gt;0,E11*'Sales Log'!$B$7,0)</f>
        <v>0</v>
      </c>
      <c r="F16" s="23" t="n">
        <f aca="false">SUM(B16:E16)</f>
        <v>0</v>
      </c>
    </row>
    <row r="17" customFormat="false" ht="15" hidden="false" customHeight="false" outlineLevel="0" collapsed="false">
      <c r="A17" s="5" t="s">
        <v>63</v>
      </c>
      <c r="B17" s="13" t="n">
        <f aca="false">IF(B11&gt;0,B11*'Sales Log'!$B$8,0)</f>
        <v>0</v>
      </c>
      <c r="C17" s="13" t="n">
        <f aca="false">IF(C11&gt;0,C11*'Sales Log'!$B$8,0)</f>
        <v>0</v>
      </c>
      <c r="D17" s="13" t="n">
        <f aca="false">IF(D11&gt;0,D11*'Sales Log'!$B$8,0)</f>
        <v>0</v>
      </c>
      <c r="E17" s="13" t="n">
        <f aca="false">IF(E11&gt;0,E11*'Sales Log'!$B$8,0)</f>
        <v>0</v>
      </c>
      <c r="F17" s="23" t="n">
        <f aca="false">SUM(B17:E17)</f>
        <v>0</v>
      </c>
    </row>
    <row r="18" customFormat="false" ht="15" hidden="false" customHeight="false" outlineLevel="0" collapsed="false">
      <c r="A18" s="5" t="s">
        <v>64</v>
      </c>
      <c r="B18" s="25" t="n">
        <f aca="false">B14+B15+B16+B17</f>
        <v>0</v>
      </c>
      <c r="C18" s="25" t="n">
        <f aca="false">C14+C15+C16+C17</f>
        <v>0</v>
      </c>
      <c r="D18" s="25" t="n">
        <f aca="false">D14+D15+D16+D17</f>
        <v>0</v>
      </c>
      <c r="E18" s="25" t="n">
        <f aca="false">E14+E15+E16+E17</f>
        <v>0</v>
      </c>
      <c r="F18" s="23" t="n">
        <f aca="false">SUM(B18:E18)</f>
        <v>0</v>
      </c>
    </row>
    <row r="19" customFormat="false" ht="15" hidden="false" customHeight="false" outlineLevel="0" collapsed="false">
      <c r="A19" s="5"/>
      <c r="B19" s="13"/>
      <c r="C19" s="13"/>
      <c r="D19" s="13"/>
      <c r="E19" s="13"/>
      <c r="F19" s="13"/>
    </row>
    <row r="20" customFormat="false" ht="15" hidden="false" customHeight="false" outlineLevel="0" collapsed="false">
      <c r="A20" s="5" t="s">
        <v>65</v>
      </c>
      <c r="B20" s="13"/>
      <c r="C20" s="13"/>
      <c r="D20" s="13"/>
      <c r="E20" s="13"/>
      <c r="F20" s="13"/>
    </row>
    <row r="21" customFormat="false" ht="15" hidden="false" customHeight="false" outlineLevel="0" collapsed="false">
      <c r="A21" s="21" t="s">
        <v>66</v>
      </c>
      <c r="B21" s="12"/>
      <c r="C21" s="12"/>
      <c r="D21" s="12"/>
      <c r="E21" s="12"/>
      <c r="F21" s="23" t="n">
        <f aca="false">SUM(B21:E21)</f>
        <v>0</v>
      </c>
    </row>
    <row r="22" customFormat="false" ht="15" hidden="false" customHeight="false" outlineLevel="0" collapsed="false">
      <c r="A22" s="21" t="s">
        <v>67</v>
      </c>
      <c r="B22" s="12"/>
      <c r="C22" s="12"/>
      <c r="D22" s="12"/>
      <c r="E22" s="12"/>
      <c r="F22" s="23" t="n">
        <f aca="false">SUM(B22:E22)</f>
        <v>0</v>
      </c>
    </row>
    <row r="23" customFormat="false" ht="15" hidden="false" customHeight="false" outlineLevel="0" collapsed="false">
      <c r="A23" s="21" t="s">
        <v>68</v>
      </c>
      <c r="B23" s="12"/>
      <c r="C23" s="12"/>
      <c r="D23" s="12"/>
      <c r="E23" s="12"/>
      <c r="F23" s="23" t="n">
        <f aca="false">SUM(B23:E23)</f>
        <v>0</v>
      </c>
    </row>
    <row r="24" customFormat="false" ht="15" hidden="false" customHeight="false" outlineLevel="0" collapsed="false">
      <c r="A24" s="5" t="s">
        <v>69</v>
      </c>
      <c r="B24" s="23" t="n">
        <f aca="false">B21+B22+B23</f>
        <v>0</v>
      </c>
      <c r="C24" s="23" t="n">
        <f aca="false">C21+C22+C23</f>
        <v>0</v>
      </c>
      <c r="D24" s="23" t="n">
        <f aca="false">D21+D22+D23</f>
        <v>0</v>
      </c>
      <c r="E24" s="23" t="n">
        <f aca="false">E21+E22+E23</f>
        <v>0</v>
      </c>
      <c r="F24" s="23" t="n">
        <f aca="false">SUM(B24:E24)</f>
        <v>0</v>
      </c>
    </row>
    <row r="25" customFormat="false" ht="15" hidden="false" customHeight="false" outlineLevel="0" collapsed="false">
      <c r="A25" s="5"/>
      <c r="B25" s="13"/>
      <c r="C25" s="13"/>
      <c r="D25" s="13"/>
      <c r="E25" s="13"/>
      <c r="F25" s="13"/>
    </row>
    <row r="26" customFormat="false" ht="15" hidden="false" customHeight="false" outlineLevel="0" collapsed="false">
      <c r="A26" s="5" t="s">
        <v>70</v>
      </c>
      <c r="B26" s="26" t="n">
        <f aca="false">B24-B18</f>
        <v>0</v>
      </c>
      <c r="C26" s="26" t="n">
        <f aca="false">C24-C18</f>
        <v>0</v>
      </c>
      <c r="D26" s="26" t="n">
        <f aca="false">D24-D18</f>
        <v>0</v>
      </c>
      <c r="E26" s="26" t="n">
        <f aca="false">E24-E18</f>
        <v>0</v>
      </c>
      <c r="F26" s="23" t="n">
        <f aca="false">SUM(B26:E26)</f>
        <v>0</v>
      </c>
    </row>
    <row r="28" customFormat="false" ht="15" hidden="false" customHeight="false" outlineLevel="0" collapsed="false">
      <c r="A28" s="27" t="s">
        <v>71</v>
      </c>
    </row>
    <row r="29" customFormat="false" ht="15" hidden="false" customHeight="false" outlineLevel="0" collapsed="false">
      <c r="A29" s="21" t="s">
        <v>72</v>
      </c>
    </row>
    <row r="30" customFormat="false" ht="15" hidden="false" customHeight="false" outlineLevel="0" collapsed="false">
      <c r="A30" s="21" t="s">
        <v>73</v>
      </c>
    </row>
    <row r="31" customFormat="false" ht="15" hidden="false" customHeight="false" outlineLevel="0" collapsed="false">
      <c r="A31" s="21" t="s">
        <v>74</v>
      </c>
    </row>
    <row r="32" customFormat="false" ht="15" hidden="false" customHeight="false" outlineLevel="0" collapsed="false">
      <c r="A32" s="21" t="s">
        <v>75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</cols>
  <sheetData>
    <row r="1" customFormat="false" ht="19.7" hidden="false" customHeight="false" outlineLevel="0" collapsed="false">
      <c r="A1" s="16" t="s">
        <v>76</v>
      </c>
      <c r="B1" s="16"/>
      <c r="C1" s="16"/>
      <c r="D1" s="16"/>
      <c r="E1" s="16"/>
      <c r="F1" s="16"/>
    </row>
    <row r="2" customFormat="false" ht="15" hidden="false" customHeight="false" outlineLevel="0" collapsed="false">
      <c r="A2" s="2" t="s">
        <v>77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8" t="s">
        <v>78</v>
      </c>
      <c r="B3" s="28"/>
      <c r="C3" s="28"/>
      <c r="D3" s="28"/>
      <c r="E3" s="28"/>
      <c r="F3" s="28"/>
    </row>
    <row r="4" customFormat="false" ht="15" hidden="false" customHeight="false" outlineLevel="0" collapsed="false">
      <c r="A4" s="5" t="s">
        <v>79</v>
      </c>
      <c r="B4" s="8" t="n">
        <v>450</v>
      </c>
    </row>
    <row r="5" customFormat="false" ht="36" hidden="false" customHeight="true" outlineLevel="0" collapsed="false">
      <c r="A5" s="9" t="s">
        <v>80</v>
      </c>
      <c r="B5" s="9" t="s">
        <v>81</v>
      </c>
      <c r="C5" s="9" t="s">
        <v>82</v>
      </c>
      <c r="D5" s="9" t="s">
        <v>83</v>
      </c>
      <c r="E5" s="9" t="s">
        <v>84</v>
      </c>
      <c r="F5" s="9" t="s">
        <v>85</v>
      </c>
    </row>
    <row r="6" customFormat="false" ht="15" hidden="false" customHeight="false" outlineLevel="0" collapsed="false">
      <c r="A6" s="10"/>
      <c r="B6" s="10"/>
      <c r="C6" s="12"/>
      <c r="D6" s="29" t="n">
        <f aca="false">$B$4</f>
        <v>450</v>
      </c>
      <c r="E6" s="29" t="n">
        <f aca="false">D6*0.25</f>
        <v>112.5</v>
      </c>
      <c r="F6" s="23" t="n">
        <f aca="false">IF(C6="",D6,MAX(0,D6-(C6-E6)))</f>
        <v>450</v>
      </c>
    </row>
    <row r="7" customFormat="false" ht="15" hidden="false" customHeight="false" outlineLevel="0" collapsed="false">
      <c r="A7" s="10"/>
      <c r="B7" s="10"/>
      <c r="C7" s="12"/>
      <c r="D7" s="29" t="n">
        <f aca="false">$B$4</f>
        <v>450</v>
      </c>
      <c r="E7" s="29" t="n">
        <f aca="false">D7*0.25</f>
        <v>112.5</v>
      </c>
      <c r="F7" s="23" t="n">
        <f aca="false">IF(C7="",D7,MAX(0,D7-(C7-E7)))</f>
        <v>450</v>
      </c>
    </row>
    <row r="8" customFormat="false" ht="15" hidden="false" customHeight="false" outlineLevel="0" collapsed="false">
      <c r="A8" s="10"/>
      <c r="B8" s="10"/>
      <c r="C8" s="12"/>
      <c r="D8" s="29" t="n">
        <f aca="false">$B$4</f>
        <v>450</v>
      </c>
      <c r="E8" s="29" t="n">
        <f aca="false">D8*0.25</f>
        <v>112.5</v>
      </c>
      <c r="F8" s="23" t="n">
        <f aca="false">IF(C8="",D8,MAX(0,D8-(C8-E8)))</f>
        <v>450</v>
      </c>
    </row>
    <row r="9" customFormat="false" ht="15" hidden="false" customHeight="false" outlineLevel="0" collapsed="false">
      <c r="A9" s="10"/>
      <c r="B9" s="10"/>
      <c r="C9" s="12"/>
      <c r="D9" s="29" t="n">
        <f aca="false">$B$4</f>
        <v>450</v>
      </c>
      <c r="E9" s="29" t="n">
        <f aca="false">D9*0.25</f>
        <v>112.5</v>
      </c>
      <c r="F9" s="23" t="n">
        <f aca="false">IF(C9="",D9,MAX(0,D9-(C9-E9)))</f>
        <v>450</v>
      </c>
    </row>
    <row r="10" customFormat="false" ht="15" hidden="false" customHeight="false" outlineLevel="0" collapsed="false">
      <c r="A10" s="10"/>
      <c r="B10" s="10"/>
      <c r="C10" s="12"/>
      <c r="D10" s="29" t="n">
        <f aca="false">$B$4</f>
        <v>450</v>
      </c>
      <c r="E10" s="29" t="n">
        <f aca="false">D10*0.25</f>
        <v>112.5</v>
      </c>
      <c r="F10" s="23" t="n">
        <f aca="false">IF(C10="",D10,MAX(0,D10-(C10-E10)))</f>
        <v>450</v>
      </c>
    </row>
    <row r="11" customFormat="false" ht="15" hidden="false" customHeight="false" outlineLevel="0" collapsed="false">
      <c r="A11" s="10"/>
      <c r="B11" s="10"/>
      <c r="C11" s="12"/>
      <c r="D11" s="29" t="n">
        <f aca="false">$B$4</f>
        <v>450</v>
      </c>
      <c r="E11" s="29" t="n">
        <f aca="false">D11*0.25</f>
        <v>112.5</v>
      </c>
      <c r="F11" s="23" t="n">
        <f aca="false">IF(C11="",D11,MAX(0,D11-(C11-E11)))</f>
        <v>450</v>
      </c>
    </row>
    <row r="12" customFormat="false" ht="15" hidden="false" customHeight="false" outlineLevel="0" collapsed="false">
      <c r="A12" s="10"/>
      <c r="B12" s="10"/>
      <c r="C12" s="12"/>
      <c r="D12" s="29" t="n">
        <f aca="false">$B$4</f>
        <v>450</v>
      </c>
      <c r="E12" s="29" t="n">
        <f aca="false">D12*0.25</f>
        <v>112.5</v>
      </c>
      <c r="F12" s="23" t="n">
        <f aca="false">IF(C12="",D12,MAX(0,D12-(C12-E12)))</f>
        <v>450</v>
      </c>
    </row>
    <row r="13" customFormat="false" ht="15" hidden="false" customHeight="false" outlineLevel="0" collapsed="false">
      <c r="A13" s="10"/>
      <c r="B13" s="10"/>
      <c r="C13" s="12"/>
      <c r="D13" s="29" t="n">
        <f aca="false">$B$4</f>
        <v>450</v>
      </c>
      <c r="E13" s="29" t="n">
        <f aca="false">D13*0.25</f>
        <v>112.5</v>
      </c>
      <c r="F13" s="23" t="n">
        <f aca="false">IF(C13="",D13,MAX(0,D13-(C13-E13)))</f>
        <v>450</v>
      </c>
    </row>
    <row r="14" customFormat="false" ht="15" hidden="false" customHeight="false" outlineLevel="0" collapsed="false">
      <c r="A14" s="10"/>
      <c r="B14" s="10"/>
      <c r="C14" s="12"/>
      <c r="D14" s="29" t="n">
        <f aca="false">$B$4</f>
        <v>450</v>
      </c>
      <c r="E14" s="29" t="n">
        <f aca="false">D14*0.25</f>
        <v>112.5</v>
      </c>
      <c r="F14" s="23" t="n">
        <f aca="false">IF(C14="",D14,MAX(0,D14-(C14-E14)))</f>
        <v>450</v>
      </c>
    </row>
    <row r="15" customFormat="false" ht="15" hidden="false" customHeight="false" outlineLevel="0" collapsed="false">
      <c r="A15" s="10"/>
      <c r="B15" s="10"/>
      <c r="C15" s="12"/>
      <c r="D15" s="29" t="n">
        <f aca="false">$B$4</f>
        <v>450</v>
      </c>
      <c r="E15" s="29" t="n">
        <f aca="false">D15*0.25</f>
        <v>112.5</v>
      </c>
      <c r="F15" s="23" t="n">
        <f aca="false">IF(C15="",D15,MAX(0,D15-(C15-E15)))</f>
        <v>450</v>
      </c>
    </row>
    <row r="16" customFormat="false" ht="15" hidden="false" customHeight="false" outlineLevel="0" collapsed="false">
      <c r="A16" s="10"/>
      <c r="B16" s="10"/>
      <c r="C16" s="12"/>
      <c r="D16" s="29" t="n">
        <f aca="false">$B$4</f>
        <v>450</v>
      </c>
      <c r="E16" s="29" t="n">
        <f aca="false">D16*0.25</f>
        <v>112.5</v>
      </c>
      <c r="F16" s="23" t="n">
        <f aca="false">IF(C16="",D16,MAX(0,D16-(C16-E16)))</f>
        <v>450</v>
      </c>
    </row>
    <row r="17" customFormat="false" ht="15" hidden="false" customHeight="false" outlineLevel="0" collapsed="false">
      <c r="A17" s="10"/>
      <c r="B17" s="10"/>
      <c r="C17" s="12"/>
      <c r="D17" s="29" t="n">
        <f aca="false">$B$4</f>
        <v>450</v>
      </c>
      <c r="E17" s="29" t="n">
        <f aca="false">D17*0.25</f>
        <v>112.5</v>
      </c>
      <c r="F17" s="23" t="n">
        <f aca="false">IF(C17="",D17,MAX(0,D17-(C17-E17)))</f>
        <v>450</v>
      </c>
    </row>
    <row r="18" customFormat="false" ht="15" hidden="false" customHeight="false" outlineLevel="0" collapsed="false">
      <c r="A18" s="10"/>
      <c r="B18" s="10"/>
      <c r="C18" s="12"/>
      <c r="D18" s="29" t="n">
        <f aca="false">$B$4</f>
        <v>450</v>
      </c>
      <c r="E18" s="29" t="n">
        <f aca="false">D18*0.25</f>
        <v>112.5</v>
      </c>
      <c r="F18" s="23" t="n">
        <f aca="false">IF(C18="",D18,MAX(0,D18-(C18-E18)))</f>
        <v>450</v>
      </c>
    </row>
    <row r="19" customFormat="false" ht="15" hidden="false" customHeight="false" outlineLevel="0" collapsed="false">
      <c r="A19" s="10"/>
      <c r="B19" s="10"/>
      <c r="C19" s="12"/>
      <c r="D19" s="29" t="n">
        <f aca="false">$B$4</f>
        <v>450</v>
      </c>
      <c r="E19" s="29" t="n">
        <f aca="false">D19*0.25</f>
        <v>112.5</v>
      </c>
      <c r="F19" s="23" t="n">
        <f aca="false">IF(C19="",D19,MAX(0,D19-(C19-E19)))</f>
        <v>450</v>
      </c>
    </row>
    <row r="20" customFormat="false" ht="15" hidden="false" customHeight="false" outlineLevel="0" collapsed="false">
      <c r="A20" s="10"/>
      <c r="B20" s="10"/>
      <c r="C20" s="12"/>
      <c r="D20" s="29" t="n">
        <f aca="false">$B$4</f>
        <v>450</v>
      </c>
      <c r="E20" s="29" t="n">
        <f aca="false">D20*0.25</f>
        <v>112.5</v>
      </c>
      <c r="F20" s="23" t="n">
        <f aca="false">IF(C20="",D20,MAX(0,D20-(C20-E20)))</f>
        <v>450</v>
      </c>
    </row>
    <row r="21" customFormat="false" ht="15" hidden="false" customHeight="false" outlineLevel="0" collapsed="false">
      <c r="A21" s="10"/>
      <c r="B21" s="10"/>
      <c r="C21" s="12"/>
      <c r="D21" s="29" t="n">
        <f aca="false">$B$4</f>
        <v>450</v>
      </c>
      <c r="E21" s="29" t="n">
        <f aca="false">D21*0.25</f>
        <v>112.5</v>
      </c>
      <c r="F21" s="23" t="n">
        <f aca="false">IF(C21="",D21,MAX(0,D21-(C21-E21)))</f>
        <v>450</v>
      </c>
    </row>
    <row r="22" customFormat="false" ht="15" hidden="false" customHeight="false" outlineLevel="0" collapsed="false">
      <c r="A22" s="10"/>
      <c r="B22" s="10"/>
      <c r="C22" s="12"/>
      <c r="D22" s="29" t="n">
        <f aca="false">$B$4</f>
        <v>450</v>
      </c>
      <c r="E22" s="29" t="n">
        <f aca="false">D22*0.25</f>
        <v>112.5</v>
      </c>
      <c r="F22" s="23" t="n">
        <f aca="false">IF(C22="",D22,MAX(0,D22-(C22-E22)))</f>
        <v>450</v>
      </c>
    </row>
    <row r="23" customFormat="false" ht="15" hidden="false" customHeight="false" outlineLevel="0" collapsed="false">
      <c r="A23" s="10"/>
      <c r="B23" s="10"/>
      <c r="C23" s="12"/>
      <c r="D23" s="29" t="n">
        <f aca="false">$B$4</f>
        <v>450</v>
      </c>
      <c r="E23" s="29" t="n">
        <f aca="false">D23*0.25</f>
        <v>112.5</v>
      </c>
      <c r="F23" s="23" t="n">
        <f aca="false">IF(C23="",D23,MAX(0,D23-(C23-E23)))</f>
        <v>450</v>
      </c>
    </row>
    <row r="24" customFormat="false" ht="15" hidden="false" customHeight="false" outlineLevel="0" collapsed="false">
      <c r="A24" s="10"/>
      <c r="B24" s="10"/>
      <c r="C24" s="12"/>
      <c r="D24" s="29" t="n">
        <f aca="false">$B$4</f>
        <v>450</v>
      </c>
      <c r="E24" s="29" t="n">
        <f aca="false">D24*0.25</f>
        <v>112.5</v>
      </c>
      <c r="F24" s="23" t="n">
        <f aca="false">IF(C24="",D24,MAX(0,D24-(C24-E24)))</f>
        <v>450</v>
      </c>
    </row>
    <row r="25" customFormat="false" ht="15" hidden="false" customHeight="false" outlineLevel="0" collapsed="false">
      <c r="A25" s="10"/>
      <c r="B25" s="10"/>
      <c r="C25" s="12"/>
      <c r="D25" s="29" t="n">
        <f aca="false">$B$4</f>
        <v>450</v>
      </c>
      <c r="E25" s="29" t="n">
        <f aca="false">D25*0.25</f>
        <v>112.5</v>
      </c>
      <c r="F25" s="23" t="n">
        <f aca="false">IF(C25="",D25,MAX(0,D25-(C25-E25)))</f>
        <v>450</v>
      </c>
    </row>
    <row r="26" customFormat="false" ht="15" hidden="false" customHeight="false" outlineLevel="0" collapsed="false">
      <c r="A26" s="10"/>
      <c r="B26" s="10"/>
      <c r="C26" s="12"/>
      <c r="D26" s="29" t="n">
        <f aca="false">$B$4</f>
        <v>450</v>
      </c>
      <c r="E26" s="29" t="n">
        <f aca="false">D26*0.25</f>
        <v>112.5</v>
      </c>
      <c r="F26" s="23" t="n">
        <f aca="false">IF(C26="",D26,MAX(0,D26-(C26-E26)))</f>
        <v>450</v>
      </c>
    </row>
    <row r="27" customFormat="false" ht="15" hidden="false" customHeight="false" outlineLevel="0" collapsed="false">
      <c r="A27" s="10"/>
      <c r="B27" s="10"/>
      <c r="C27" s="12"/>
      <c r="D27" s="29" t="n">
        <f aca="false">$B$4</f>
        <v>450</v>
      </c>
      <c r="E27" s="29" t="n">
        <f aca="false">D27*0.25</f>
        <v>112.5</v>
      </c>
      <c r="F27" s="23" t="n">
        <f aca="false">IF(C27="",D27,MAX(0,D27-(C27-E27)))</f>
        <v>450</v>
      </c>
    </row>
    <row r="28" customFormat="false" ht="15" hidden="false" customHeight="false" outlineLevel="0" collapsed="false">
      <c r="A28" s="10"/>
      <c r="B28" s="10"/>
      <c r="C28" s="12"/>
      <c r="D28" s="29" t="n">
        <f aca="false">$B$4</f>
        <v>450</v>
      </c>
      <c r="E28" s="29" t="n">
        <f aca="false">D28*0.25</f>
        <v>112.5</v>
      </c>
      <c r="F28" s="23" t="n">
        <f aca="false">IF(C28="",D28,MAX(0,D28-(C28-E28)))</f>
        <v>450</v>
      </c>
    </row>
    <row r="29" customFormat="false" ht="15" hidden="false" customHeight="false" outlineLevel="0" collapsed="false">
      <c r="A29" s="10"/>
      <c r="B29" s="10"/>
      <c r="C29" s="12"/>
      <c r="D29" s="29" t="n">
        <f aca="false">$B$4</f>
        <v>450</v>
      </c>
      <c r="E29" s="29" t="n">
        <f aca="false">D29*0.25</f>
        <v>112.5</v>
      </c>
      <c r="F29" s="23" t="n">
        <f aca="false">IF(C29="",D29,MAX(0,D29-(C29-E29)))</f>
        <v>450</v>
      </c>
    </row>
    <row r="30" customFormat="false" ht="15" hidden="false" customHeight="false" outlineLevel="0" collapsed="false">
      <c r="A30" s="10"/>
      <c r="B30" s="10"/>
      <c r="C30" s="12"/>
      <c r="D30" s="29" t="n">
        <f aca="false">$B$4</f>
        <v>450</v>
      </c>
      <c r="E30" s="29" t="n">
        <f aca="false">D30*0.25</f>
        <v>112.5</v>
      </c>
      <c r="F30" s="23" t="n">
        <f aca="false">IF(C30="",D30,MAX(0,D30-(C30-E30)))</f>
        <v>450</v>
      </c>
    </row>
    <row r="31" customFormat="false" ht="15" hidden="false" customHeight="false" outlineLevel="0" collapsed="false">
      <c r="A31" s="10"/>
      <c r="B31" s="10"/>
      <c r="C31" s="12"/>
      <c r="D31" s="29" t="n">
        <f aca="false">$B$4</f>
        <v>450</v>
      </c>
      <c r="E31" s="29" t="n">
        <f aca="false">D31*0.25</f>
        <v>112.5</v>
      </c>
      <c r="F31" s="23" t="n">
        <f aca="false">IF(C31="",D31,MAX(0,D31-(C31-E31)))</f>
        <v>450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2026-02-08T02:24:08Z</dcterms:created>
  <dc:creator>openpyxl</dc:creator>
  <dc:description/>
  <dc:language>en-US</dc:language>
  <cp:lastModifiedBy/>
  <dcterms:modified xsi:type="dcterms:W3CDTF">2026-02-08T02:24:08Z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